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 defaultThemeVersion="164011"/>
  <bookViews>
    <workbookView xWindow="-120" yWindow="-120" windowWidth="29040" windowHeight="15720" tabRatio="909" firstSheet="1" activeTab="5"/>
  </bookViews>
  <sheets>
    <sheet name="data" sheetId="4" state="hidden" r:id="rId1"/>
    <sheet name="Die" sheetId="35" r:id="rId2"/>
    <sheet name="Sheet Die" sheetId="41" r:id="rId3"/>
    <sheet name="Fixture" sheetId="10" r:id="rId4"/>
    <sheet name="Fixture (2)" sheetId="36" r:id="rId5"/>
    <sheet name="Cata" sheetId="37" r:id="rId6"/>
    <sheet name="Sheet1" sheetId="55" r:id="rId7"/>
    <sheet name="Flx" sheetId="38" r:id="rId8"/>
    <sheet name="GPF" sheetId="39" r:id="rId9"/>
    <sheet name="Rear muffler" sheetId="40" r:id="rId10"/>
    <sheet name="Sheet5" sheetId="33" state="hidden" r:id="rId11"/>
  </sheets>
  <externalReferences>
    <externalReference r:id="rId12"/>
  </externalReferences>
  <definedNames>
    <definedName name="_xlnm._FilterDatabase" localSheetId="5" hidden="1">Cata!$A$11:$AL$19</definedName>
    <definedName name="_xlnm._FilterDatabase" localSheetId="1" hidden="1">Die!$A$11:$AL$20</definedName>
    <definedName name="_xlnm._FilterDatabase" localSheetId="3" hidden="1">Fixture!$A$11:$AL$69</definedName>
    <definedName name="_xlnm._FilterDatabase" localSheetId="4" hidden="1">'Fixture (2)'!$A$11:$AL$53</definedName>
    <definedName name="_xlnm._FilterDatabase" localSheetId="7" hidden="1">Flx!$A$2:$R$21</definedName>
    <definedName name="_xlnm._FilterDatabase" localSheetId="8" hidden="1">GPF!$A$11:$AL$30</definedName>
    <definedName name="_xlnm._FilterDatabase" localSheetId="9" hidden="1">'Rear muffler'!$A$12:$AL$25</definedName>
    <definedName name="_xlnm._FilterDatabase" localSheetId="10" hidden="1">Sheet5!$A$1:$I$267</definedName>
    <definedName name="_xlnm.Print_Area" localSheetId="5">Cata!$A$1:$R$19</definedName>
    <definedName name="_xlnm.Print_Area" localSheetId="1">Die!$A$1:$AC$20</definedName>
    <definedName name="_xlnm.Print_Area" localSheetId="3">Fixture!$A$1:$R$69</definedName>
    <definedName name="_xlnm.Print_Area" localSheetId="4">'Fixture (2)'!$A$1:$R$53</definedName>
    <definedName name="_xlnm.Print_Area" localSheetId="7">Flx!$A$1:$R$21</definedName>
    <definedName name="_xlnm.Print_Area" localSheetId="8">GPF!$A$1:$R$30</definedName>
    <definedName name="_xlnm.Print_Area" localSheetId="9">'Rear muffler'!$A$1:$R$25</definedName>
    <definedName name="_xlnm.Print_Titles" localSheetId="5">Cata!$2:$11</definedName>
    <definedName name="_xlnm.Print_Titles" localSheetId="1">Die!$2:$11</definedName>
    <definedName name="_xlnm.Print_Titles" localSheetId="3">Fixture!$2:$11</definedName>
    <definedName name="_xlnm.Print_Titles" localSheetId="4">'Fixture (2)'!$2:$11</definedName>
    <definedName name="_xlnm.Print_Titles" localSheetId="7">Flx!$2:$11</definedName>
    <definedName name="_xlnm.Print_Titles" localSheetId="8">GPF!$2:$11</definedName>
    <definedName name="_xlnm.Print_Titles" localSheetId="9">'Rear muffler'!$2:$11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" i="37" l="1"/>
  <c r="B22" i="37"/>
  <c r="R23" i="37"/>
  <c r="Q23" i="37"/>
  <c r="B33" i="39" l="1"/>
  <c r="Q33" i="39"/>
  <c r="Q32" i="39" l="1"/>
  <c r="B32" i="39"/>
  <c r="Q31" i="39"/>
  <c r="B31" i="39"/>
  <c r="Q20" i="37" l="1"/>
  <c r="R20" i="37"/>
  <c r="B20" i="37" s="1"/>
  <c r="AC20" i="35"/>
  <c r="AB20" i="35"/>
  <c r="AC19" i="35"/>
  <c r="AB19" i="35"/>
  <c r="AC18" i="35"/>
  <c r="AB18" i="35"/>
  <c r="AC17" i="35"/>
  <c r="AB17" i="35"/>
  <c r="AC16" i="35"/>
  <c r="AB16" i="35"/>
  <c r="AC15" i="35"/>
  <c r="AB15" i="35"/>
  <c r="AC14" i="35"/>
  <c r="AB14" i="35"/>
  <c r="AC13" i="35"/>
  <c r="AB13" i="35"/>
  <c r="B20" i="35"/>
  <c r="R21" i="40" l="1"/>
  <c r="B21" i="40" s="1"/>
  <c r="Q21" i="40"/>
  <c r="R22" i="39"/>
  <c r="Q22" i="39"/>
  <c r="R25" i="39"/>
  <c r="Q25" i="39"/>
  <c r="R21" i="39"/>
  <c r="Q21" i="39"/>
  <c r="R18" i="39"/>
  <c r="Q18" i="39"/>
  <c r="R26" i="39"/>
  <c r="Q26" i="39"/>
  <c r="R30" i="39"/>
  <c r="Q30" i="39"/>
  <c r="R29" i="39"/>
  <c r="Q29" i="39"/>
  <c r="R27" i="39"/>
  <c r="Q27" i="39"/>
  <c r="R28" i="39"/>
  <c r="Q28" i="39"/>
  <c r="R24" i="39"/>
  <c r="Q24" i="39"/>
  <c r="R23" i="39"/>
  <c r="Q23" i="39"/>
  <c r="R20" i="39"/>
  <c r="Q20" i="39"/>
  <c r="R17" i="39"/>
  <c r="B17" i="39" s="1"/>
  <c r="Q17" i="39"/>
  <c r="R16" i="39"/>
  <c r="B16" i="39" s="1"/>
  <c r="Q16" i="39"/>
  <c r="R22" i="40"/>
  <c r="Q22" i="40"/>
  <c r="R25" i="40"/>
  <c r="Q25" i="40"/>
  <c r="R23" i="40"/>
  <c r="Q23" i="40"/>
  <c r="R20" i="40"/>
  <c r="Q20" i="40"/>
  <c r="R24" i="40"/>
  <c r="Q24" i="40"/>
  <c r="R19" i="40"/>
  <c r="B19" i="40" s="1"/>
  <c r="Q19" i="40"/>
  <c r="R18" i="40"/>
  <c r="B18" i="40" s="1"/>
  <c r="Q18" i="40"/>
  <c r="R17" i="40"/>
  <c r="B17" i="40" s="1"/>
  <c r="Q17" i="40"/>
  <c r="R16" i="40"/>
  <c r="B16" i="40" s="1"/>
  <c r="Q16" i="40"/>
  <c r="R15" i="40"/>
  <c r="B15" i="40" s="1"/>
  <c r="Q15" i="40"/>
  <c r="R13" i="40"/>
  <c r="Q13" i="40"/>
  <c r="R14" i="40"/>
  <c r="B14" i="40" s="1"/>
  <c r="Q14" i="40"/>
  <c r="R19" i="38"/>
  <c r="Q19" i="38"/>
  <c r="R14" i="38"/>
  <c r="B14" i="38" s="1"/>
  <c r="Q14" i="38"/>
  <c r="R17" i="38"/>
  <c r="B17" i="38" s="1"/>
  <c r="Q17" i="38"/>
  <c r="R20" i="38"/>
  <c r="Q13" i="38"/>
  <c r="R13" i="39"/>
  <c r="Q13" i="39"/>
  <c r="Q11" i="40" l="1"/>
  <c r="R11" i="40"/>
  <c r="Q20" i="38"/>
  <c r="B20" i="38" l="1"/>
  <c r="R13" i="38" l="1"/>
  <c r="R18" i="38"/>
  <c r="Q18" i="38"/>
  <c r="R21" i="38"/>
  <c r="Q21" i="38"/>
  <c r="R16" i="38"/>
  <c r="Q16" i="38"/>
  <c r="B22" i="40" l="1"/>
  <c r="B25" i="40"/>
  <c r="B23" i="40"/>
  <c r="B20" i="40"/>
  <c r="B24" i="40"/>
  <c r="B13" i="40"/>
  <c r="R15" i="39"/>
  <c r="B15" i="39" s="1"/>
  <c r="Q15" i="39"/>
  <c r="B22" i="39"/>
  <c r="B25" i="39"/>
  <c r="B21" i="39"/>
  <c r="B18" i="39"/>
  <c r="B26" i="39"/>
  <c r="B30" i="39"/>
  <c r="R14" i="39"/>
  <c r="B14" i="39" s="1"/>
  <c r="Q14" i="39"/>
  <c r="B29" i="39"/>
  <c r="B27" i="39"/>
  <c r="B28" i="39"/>
  <c r="B24" i="39"/>
  <c r="B23" i="39"/>
  <c r="B13" i="39"/>
  <c r="B20" i="39"/>
  <c r="R19" i="39"/>
  <c r="Q19" i="39"/>
  <c r="B19" i="38"/>
  <c r="B18" i="38"/>
  <c r="B21" i="38"/>
  <c r="B16" i="38"/>
  <c r="R15" i="38"/>
  <c r="B15" i="38" s="1"/>
  <c r="Q15" i="38"/>
  <c r="Q11" i="38" s="1"/>
  <c r="B13" i="38"/>
  <c r="R17" i="37"/>
  <c r="Q17" i="37"/>
  <c r="R14" i="37"/>
  <c r="B14" i="37" s="1"/>
  <c r="Q14" i="37"/>
  <c r="B19" i="37"/>
  <c r="Q19" i="37"/>
  <c r="R16" i="37"/>
  <c r="B16" i="37" s="1"/>
  <c r="Q16" i="37"/>
  <c r="R13" i="37"/>
  <c r="B13" i="37" s="1"/>
  <c r="Q13" i="37"/>
  <c r="R18" i="37"/>
  <c r="B18" i="37" s="1"/>
  <c r="Q18" i="37"/>
  <c r="R15" i="37"/>
  <c r="B15" i="37" s="1"/>
  <c r="Q15" i="37"/>
  <c r="R53" i="36"/>
  <c r="B53" i="36" s="1"/>
  <c r="Q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R36" i="36"/>
  <c r="B36" i="36" s="1"/>
  <c r="Q36" i="36"/>
  <c r="R35" i="36"/>
  <c r="B35" i="36" s="1"/>
  <c r="Q35" i="36"/>
  <c r="R34" i="36"/>
  <c r="B34" i="36" s="1"/>
  <c r="Q34" i="36"/>
  <c r="R33" i="36"/>
  <c r="B33" i="36" s="1"/>
  <c r="Q33" i="36"/>
  <c r="R32" i="36"/>
  <c r="B32" i="36" s="1"/>
  <c r="Q32" i="36"/>
  <c r="R31" i="36"/>
  <c r="B31" i="36" s="1"/>
  <c r="Q31" i="36"/>
  <c r="R30" i="36"/>
  <c r="B30" i="36" s="1"/>
  <c r="Q30" i="36"/>
  <c r="R29" i="36"/>
  <c r="B29" i="36" s="1"/>
  <c r="Q29" i="36"/>
  <c r="R28" i="36"/>
  <c r="B28" i="36" s="1"/>
  <c r="Q28" i="36"/>
  <c r="R27" i="36"/>
  <c r="B27" i="36" s="1"/>
  <c r="Q27" i="36"/>
  <c r="R26" i="36"/>
  <c r="B26" i="36" s="1"/>
  <c r="Q26" i="36"/>
  <c r="R25" i="36"/>
  <c r="B25" i="36" s="1"/>
  <c r="Q25" i="36"/>
  <c r="R24" i="36"/>
  <c r="B24" i="36" s="1"/>
  <c r="Q24" i="36"/>
  <c r="R23" i="36"/>
  <c r="B23" i="36" s="1"/>
  <c r="Q23" i="36"/>
  <c r="R22" i="36"/>
  <c r="B22" i="36" s="1"/>
  <c r="Q22" i="36"/>
  <c r="R21" i="36"/>
  <c r="B21" i="36" s="1"/>
  <c r="Q21" i="36"/>
  <c r="R20" i="36"/>
  <c r="B20" i="36" s="1"/>
  <c r="Q20" i="36"/>
  <c r="R19" i="36"/>
  <c r="B19" i="36" s="1"/>
  <c r="Q19" i="36"/>
  <c r="R18" i="36"/>
  <c r="B18" i="36" s="1"/>
  <c r="Q18" i="36"/>
  <c r="R17" i="36"/>
  <c r="B17" i="36" s="1"/>
  <c r="Q17" i="36"/>
  <c r="R16" i="36"/>
  <c r="B16" i="36" s="1"/>
  <c r="Q16" i="36"/>
  <c r="R15" i="36"/>
  <c r="B15" i="36" s="1"/>
  <c r="Q15" i="36"/>
  <c r="R14" i="36"/>
  <c r="B14" i="36" s="1"/>
  <c r="Q14" i="36"/>
  <c r="R13" i="36"/>
  <c r="B13" i="36" s="1"/>
  <c r="Q13" i="36"/>
  <c r="R12" i="36"/>
  <c r="B12" i="36" s="1"/>
  <c r="Q12" i="36"/>
  <c r="H78" i="36"/>
  <c r="H42" i="38"/>
  <c r="G48" i="38"/>
  <c r="G54" i="38"/>
  <c r="G52" i="37"/>
  <c r="H51" i="38"/>
  <c r="G80" i="36"/>
  <c r="H54" i="40"/>
  <c r="H53" i="39"/>
  <c r="H54" i="37"/>
  <c r="H55" i="37"/>
  <c r="H66" i="39"/>
  <c r="H45" i="37"/>
  <c r="G43" i="38"/>
  <c r="G62" i="40"/>
  <c r="G44" i="37"/>
  <c r="H44" i="38"/>
  <c r="G60" i="40"/>
  <c r="G63" i="39"/>
  <c r="G45" i="37"/>
  <c r="G67" i="39"/>
  <c r="H55" i="40"/>
  <c r="G54" i="39"/>
  <c r="H83" i="36"/>
  <c r="G57" i="37"/>
  <c r="G89" i="36"/>
  <c r="H48" i="38"/>
  <c r="H50" i="37"/>
  <c r="H42" i="37"/>
  <c r="G55" i="38"/>
  <c r="H63" i="39"/>
  <c r="G56" i="39"/>
  <c r="H51" i="37"/>
  <c r="G66" i="39"/>
  <c r="G52" i="38"/>
  <c r="H56" i="37"/>
  <c r="H57" i="38"/>
  <c r="G57" i="40"/>
  <c r="G60" i="39"/>
  <c r="H64" i="39"/>
  <c r="G81" i="36"/>
  <c r="G78" i="36"/>
  <c r="G87" i="36"/>
  <c r="H53" i="38"/>
  <c r="G50" i="37"/>
  <c r="H50" i="38"/>
  <c r="G79" i="36"/>
  <c r="G82" i="36"/>
  <c r="H51" i="39"/>
  <c r="G49" i="40"/>
  <c r="H88" i="36"/>
  <c r="G42" i="37"/>
  <c r="G52" i="40"/>
  <c r="H76" i="36"/>
  <c r="H56" i="38"/>
  <c r="G45" i="38"/>
  <c r="H56" i="39"/>
  <c r="H52" i="37"/>
  <c r="G64" i="39"/>
  <c r="H53" i="40"/>
  <c r="G56" i="38"/>
  <c r="H75" i="36"/>
  <c r="G52" i="39"/>
  <c r="H49" i="40"/>
  <c r="H53" i="37"/>
  <c r="H74" i="36"/>
  <c r="G65" i="39"/>
  <c r="H60" i="40"/>
  <c r="G53" i="40"/>
  <c r="G49" i="37"/>
  <c r="H67" i="39"/>
  <c r="H57" i="39"/>
  <c r="H54" i="38"/>
  <c r="H51" i="40"/>
  <c r="G77" i="36"/>
  <c r="H65" i="39"/>
  <c r="G47" i="40"/>
  <c r="H46" i="37"/>
  <c r="G85" i="36"/>
  <c r="G47" i="38"/>
  <c r="H47" i="38"/>
  <c r="G62" i="39"/>
  <c r="G50" i="38"/>
  <c r="G56" i="40"/>
  <c r="H52" i="40"/>
  <c r="H46" i="38"/>
  <c r="H79" i="36"/>
  <c r="H59" i="40"/>
  <c r="H49" i="38"/>
  <c r="H87" i="36"/>
  <c r="G47" i="37"/>
  <c r="H84" i="36"/>
  <c r="H57" i="40"/>
  <c r="H86" i="36"/>
  <c r="H62" i="39"/>
  <c r="H45" i="38"/>
  <c r="G57" i="38"/>
  <c r="H58" i="40"/>
  <c r="G90" i="36"/>
  <c r="G51" i="39"/>
  <c r="H58" i="39"/>
  <c r="H50" i="40"/>
  <c r="H81" i="36"/>
  <c r="H60" i="39"/>
  <c r="H61" i="40"/>
  <c r="G58" i="40"/>
  <c r="G74" i="36"/>
  <c r="H57" i="37"/>
  <c r="H46" i="40"/>
  <c r="G54" i="37"/>
  <c r="H62" i="40"/>
  <c r="G55" i="37"/>
  <c r="G76" i="36"/>
  <c r="G58" i="38"/>
  <c r="G42" i="38"/>
  <c r="H47" i="37"/>
  <c r="G88" i="36"/>
  <c r="G59" i="39"/>
  <c r="G55" i="40"/>
  <c r="H41" i="37"/>
  <c r="G61" i="39"/>
  <c r="H49" i="37"/>
  <c r="G86" i="36"/>
  <c r="H90" i="36"/>
  <c r="H44" i="37"/>
  <c r="G50" i="40"/>
  <c r="H85" i="36"/>
  <c r="G48" i="40"/>
  <c r="G44" i="38"/>
  <c r="H56" i="40"/>
  <c r="H48" i="40"/>
  <c r="G61" i="40"/>
  <c r="G58" i="39"/>
  <c r="H55" i="39"/>
  <c r="G46" i="38"/>
  <c r="H80" i="36"/>
  <c r="G57" i="39"/>
  <c r="G49" i="38"/>
  <c r="G56" i="37"/>
  <c r="G51" i="38"/>
  <c r="H82" i="36"/>
  <c r="H59" i="39"/>
  <c r="H61" i="39"/>
  <c r="G53" i="39"/>
  <c r="G75" i="36"/>
  <c r="H47" i="40"/>
  <c r="G55" i="39"/>
  <c r="H58" i="38"/>
  <c r="G41" i="37"/>
  <c r="H89" i="36"/>
  <c r="G46" i="40"/>
  <c r="G53" i="38"/>
  <c r="H48" i="37"/>
  <c r="G59" i="40"/>
  <c r="G53" i="37"/>
  <c r="H77" i="36"/>
  <c r="H52" i="39"/>
  <c r="G83" i="36"/>
  <c r="G48" i="37"/>
  <c r="G43" i="37"/>
  <c r="H43" i="38"/>
  <c r="H52" i="38"/>
  <c r="G84" i="36"/>
  <c r="G54" i="40"/>
  <c r="G51" i="40"/>
  <c r="H54" i="39"/>
  <c r="H55" i="38"/>
  <c r="G46" i="37"/>
  <c r="G51" i="37"/>
  <c r="H43" i="37"/>
  <c r="K6" i="40" l="1"/>
  <c r="N6" i="40"/>
  <c r="Q11" i="39"/>
  <c r="R11" i="38"/>
  <c r="B19" i="39"/>
  <c r="N6" i="39" s="1"/>
  <c r="R11" i="39"/>
  <c r="Q11" i="37"/>
  <c r="R11" i="37"/>
  <c r="B17" i="37"/>
  <c r="N6" i="37" s="1"/>
  <c r="I52" i="40"/>
  <c r="I60" i="40"/>
  <c r="I47" i="40"/>
  <c r="I55" i="40"/>
  <c r="I50" i="40"/>
  <c r="I58" i="40"/>
  <c r="I53" i="40"/>
  <c r="I61" i="40"/>
  <c r="I48" i="40"/>
  <c r="I56" i="40"/>
  <c r="I51" i="40"/>
  <c r="I59" i="40"/>
  <c r="I46" i="40"/>
  <c r="I54" i="40"/>
  <c r="I62" i="40"/>
  <c r="I49" i="40"/>
  <c r="I57" i="40"/>
  <c r="I57" i="39"/>
  <c r="I65" i="39"/>
  <c r="I52" i="39"/>
  <c r="I60" i="39"/>
  <c r="I55" i="39"/>
  <c r="I63" i="39"/>
  <c r="I58" i="39"/>
  <c r="I66" i="39"/>
  <c r="I53" i="39"/>
  <c r="I61" i="39"/>
  <c r="I56" i="39"/>
  <c r="I64" i="39"/>
  <c r="I51" i="39"/>
  <c r="I59" i="39"/>
  <c r="I67" i="39"/>
  <c r="I54" i="39"/>
  <c r="I62" i="39"/>
  <c r="I46" i="38"/>
  <c r="I54" i="38"/>
  <c r="I48" i="38"/>
  <c r="I56" i="38"/>
  <c r="I49" i="38"/>
  <c r="I57" i="38"/>
  <c r="I44" i="38"/>
  <c r="I52" i="38"/>
  <c r="I47" i="38"/>
  <c r="I55" i="38"/>
  <c r="I51" i="38"/>
  <c r="I42" i="38"/>
  <c r="I50" i="38"/>
  <c r="I58" i="38"/>
  <c r="I43" i="38"/>
  <c r="I45" i="38"/>
  <c r="I53" i="38"/>
  <c r="N6" i="38"/>
  <c r="K6" i="38"/>
  <c r="I47" i="37"/>
  <c r="I55" i="37"/>
  <c r="I42" i="37"/>
  <c r="I45" i="37"/>
  <c r="I53" i="37"/>
  <c r="I48" i="37"/>
  <c r="I56" i="37"/>
  <c r="I50" i="37"/>
  <c r="I43" i="37"/>
  <c r="I51" i="37"/>
  <c r="I46" i="37"/>
  <c r="I54" i="37"/>
  <c r="I41" i="37"/>
  <c r="I49" i="37"/>
  <c r="I57" i="37"/>
  <c r="I44" i="37"/>
  <c r="I52" i="37"/>
  <c r="N6" i="36"/>
  <c r="K6" i="36"/>
  <c r="Q11" i="36"/>
  <c r="I80" i="36"/>
  <c r="I88" i="36"/>
  <c r="I75" i="36"/>
  <c r="I83" i="36"/>
  <c r="I78" i="36"/>
  <c r="I86" i="36"/>
  <c r="I81" i="36"/>
  <c r="I89" i="36"/>
  <c r="I76" i="36"/>
  <c r="I84" i="36"/>
  <c r="I79" i="36"/>
  <c r="I87" i="36"/>
  <c r="I74" i="36"/>
  <c r="I82" i="36"/>
  <c r="I90" i="36"/>
  <c r="I77" i="36"/>
  <c r="I85" i="36"/>
  <c r="R11" i="36"/>
  <c r="R30" i="10"/>
  <c r="R29" i="10"/>
  <c r="R27" i="10"/>
  <c r="R26" i="10"/>
  <c r="R24" i="10"/>
  <c r="R23" i="10"/>
  <c r="R15" i="10"/>
  <c r="K6" i="37" l="1"/>
  <c r="K6" i="39"/>
  <c r="R17" i="10"/>
  <c r="B17" i="10" s="1"/>
  <c r="Q17" i="10"/>
  <c r="B18" i="35" l="1"/>
  <c r="B17" i="35"/>
  <c r="B13" i="35"/>
  <c r="B19" i="35"/>
  <c r="B14" i="35"/>
  <c r="B15" i="35"/>
  <c r="B16" i="35"/>
  <c r="B62" i="10"/>
  <c r="B63" i="10"/>
  <c r="B64" i="10"/>
  <c r="B65" i="10"/>
  <c r="B66" i="10"/>
  <c r="B67" i="10"/>
  <c r="B68" i="10"/>
  <c r="B56" i="10"/>
  <c r="B57" i="10"/>
  <c r="B58" i="10"/>
  <c r="B59" i="10"/>
  <c r="B60" i="10"/>
  <c r="B61" i="10"/>
  <c r="B54" i="10"/>
  <c r="B55" i="10"/>
  <c r="B53" i="10"/>
  <c r="B52" i="10"/>
  <c r="R14" i="10"/>
  <c r="B14" i="10" s="1"/>
  <c r="R51" i="10"/>
  <c r="B51" i="10" s="1"/>
  <c r="Q51" i="10"/>
  <c r="Q14" i="10"/>
  <c r="R13" i="10"/>
  <c r="B13" i="10" s="1"/>
  <c r="R69" i="10"/>
  <c r="B69" i="10" s="1"/>
  <c r="Q69" i="10"/>
  <c r="R50" i="10"/>
  <c r="B50" i="10" s="1"/>
  <c r="Q50" i="10"/>
  <c r="R49" i="10"/>
  <c r="B49" i="10" s="1"/>
  <c r="Q49" i="10"/>
  <c r="R48" i="10"/>
  <c r="B48" i="10" s="1"/>
  <c r="Q48" i="10"/>
  <c r="R47" i="10"/>
  <c r="B47" i="10" s="1"/>
  <c r="Q47" i="10"/>
  <c r="Q13" i="10"/>
  <c r="R46" i="10"/>
  <c r="B46" i="10" s="1"/>
  <c r="Q46" i="10"/>
  <c r="R45" i="10"/>
  <c r="B45" i="10" s="1"/>
  <c r="Q45" i="10"/>
  <c r="R44" i="10"/>
  <c r="B44" i="10" s="1"/>
  <c r="Q44" i="10"/>
  <c r="R43" i="10"/>
  <c r="B43" i="10" s="1"/>
  <c r="Q43" i="10"/>
  <c r="R42" i="10"/>
  <c r="B42" i="10" s="1"/>
  <c r="Q42" i="10"/>
  <c r="R41" i="10"/>
  <c r="Q41" i="10"/>
  <c r="R40" i="10"/>
  <c r="B40" i="10" s="1"/>
  <c r="Q40" i="10"/>
  <c r="R39" i="10"/>
  <c r="B39" i="10" s="1"/>
  <c r="Q39" i="10"/>
  <c r="R38" i="10"/>
  <c r="B38" i="10" s="1"/>
  <c r="Q38" i="10"/>
  <c r="R37" i="10"/>
  <c r="B37" i="10" s="1"/>
  <c r="Q37" i="10"/>
  <c r="R12" i="10" l="1"/>
  <c r="Q24" i="10" l="1"/>
  <c r="AC12" i="35" l="1"/>
  <c r="AB12" i="35"/>
  <c r="AB11" i="35" s="1"/>
  <c r="B12" i="35" l="1"/>
  <c r="T6" i="35" s="1"/>
  <c r="AC11" i="35"/>
  <c r="B29" i="10"/>
  <c r="Q29" i="10"/>
  <c r="B27" i="10"/>
  <c r="Q27" i="10"/>
  <c r="B30" i="10"/>
  <c r="Q30" i="10"/>
  <c r="B26" i="10"/>
  <c r="Q26" i="10"/>
  <c r="W6" i="35" l="1"/>
  <c r="R35" i="10"/>
  <c r="B35" i="10" s="1"/>
  <c r="Q35" i="10"/>
  <c r="R31" i="10"/>
  <c r="B31" i="10" s="1"/>
  <c r="Q31" i="10"/>
  <c r="R25" i="10"/>
  <c r="B25" i="10" s="1"/>
  <c r="Q25" i="10"/>
  <c r="R32" i="10" l="1"/>
  <c r="B32" i="10" s="1"/>
  <c r="Q32" i="10"/>
  <c r="B23" i="10"/>
  <c r="Q23" i="10"/>
  <c r="R21" i="10" l="1"/>
  <c r="B21" i="10" s="1"/>
  <c r="Q21" i="10"/>
  <c r="R34" i="10"/>
  <c r="B34" i="10" s="1"/>
  <c r="Q34" i="10"/>
  <c r="R20" i="10"/>
  <c r="B20" i="10" s="1"/>
  <c r="Q20" i="10"/>
  <c r="R19" i="10"/>
  <c r="B19" i="10" s="1"/>
  <c r="Q19" i="10"/>
  <c r="R16" i="10"/>
  <c r="B16" i="10" s="1"/>
  <c r="Q16" i="10"/>
  <c r="B12" i="10"/>
  <c r="Q12" i="10"/>
  <c r="R22" i="10"/>
  <c r="B22" i="10" s="1"/>
  <c r="Q22" i="10"/>
  <c r="R18" i="10"/>
  <c r="Q18" i="10"/>
  <c r="R28" i="10"/>
  <c r="B28" i="10" s="1"/>
  <c r="Q28" i="10"/>
  <c r="B24" i="10"/>
  <c r="R33" i="10"/>
  <c r="B33" i="10" s="1"/>
  <c r="Q33" i="10"/>
  <c r="B15" i="10"/>
  <c r="Q15" i="10"/>
  <c r="B41" i="10"/>
  <c r="R36" i="10"/>
  <c r="Q36" i="10"/>
  <c r="G100" i="10"/>
  <c r="G95" i="10"/>
  <c r="H91" i="10"/>
  <c r="G91" i="10"/>
  <c r="G102" i="10"/>
  <c r="G104" i="10"/>
  <c r="G96" i="10"/>
  <c r="G103" i="10"/>
  <c r="H105" i="10"/>
  <c r="G106" i="10"/>
  <c r="H93" i="10"/>
  <c r="H92" i="10"/>
  <c r="H94" i="10"/>
  <c r="H102" i="10"/>
  <c r="H101" i="10"/>
  <c r="H90" i="10"/>
  <c r="G98" i="10"/>
  <c r="G93" i="10"/>
  <c r="H97" i="10"/>
  <c r="H100" i="10"/>
  <c r="H104" i="10"/>
  <c r="G94" i="10"/>
  <c r="H98" i="10"/>
  <c r="G92" i="10"/>
  <c r="G99" i="10"/>
  <c r="H106" i="10"/>
  <c r="H95" i="10"/>
  <c r="G90" i="10"/>
  <c r="G101" i="10"/>
  <c r="H103" i="10"/>
  <c r="G105" i="10"/>
  <c r="H96" i="10"/>
  <c r="G97" i="10"/>
  <c r="H99" i="10"/>
  <c r="Q11" i="10" l="1"/>
  <c r="B18" i="10"/>
  <c r="R11" i="10"/>
  <c r="B36" i="10"/>
  <c r="N6" i="10" s="1"/>
  <c r="I92" i="10"/>
  <c r="I97" i="10"/>
  <c r="I105" i="10"/>
  <c r="I100" i="10"/>
  <c r="I103" i="10"/>
  <c r="I90" i="10"/>
  <c r="I98" i="10"/>
  <c r="I106" i="10"/>
  <c r="I95" i="10"/>
  <c r="I93" i="10"/>
  <c r="I101" i="10"/>
  <c r="I96" i="10"/>
  <c r="I104" i="10"/>
  <c r="I99" i="10"/>
  <c r="I91" i="10"/>
  <c r="I94" i="10"/>
  <c r="I102" i="10"/>
  <c r="K6" i="10" l="1"/>
</calcChain>
</file>

<file path=xl/sharedStrings.xml><?xml version="1.0" encoding="utf-8"?>
<sst xmlns="http://schemas.openxmlformats.org/spreadsheetml/2006/main" count="4107" uniqueCount="1191">
  <si>
    <t>C-DIE1001</t>
  </si>
  <si>
    <t>C-DIE1002</t>
  </si>
  <si>
    <t>C-DIE1003</t>
  </si>
  <si>
    <t>C-DIE1004</t>
  </si>
  <si>
    <t>C-DIE1005</t>
  </si>
  <si>
    <t>C-DIE1006</t>
  </si>
  <si>
    <t>C-DIE1007</t>
  </si>
  <si>
    <t>C-DIE1008</t>
  </si>
  <si>
    <t>C-DIE1009</t>
  </si>
  <si>
    <t>C-DIE1010</t>
  </si>
  <si>
    <t>C-DIE1011</t>
  </si>
  <si>
    <t>C-DIE1012</t>
  </si>
  <si>
    <t>C-DIE1013</t>
  </si>
  <si>
    <t>C-DIE1014</t>
  </si>
  <si>
    <t>C-DIE1015</t>
  </si>
  <si>
    <t>C-DIE1016</t>
  </si>
  <si>
    <t>C-DIE1017</t>
  </si>
  <si>
    <t>C-DIE1018</t>
  </si>
  <si>
    <t>C-DIE1019</t>
  </si>
  <si>
    <t>C-CF1001</t>
  </si>
  <si>
    <t>ساخت گيج کنترل فلنچ ورودي کاتاليست اول</t>
  </si>
  <si>
    <t>22</t>
  </si>
  <si>
    <t>0</t>
  </si>
  <si>
    <t/>
  </si>
  <si>
    <t>C-CF1002</t>
  </si>
  <si>
    <t>ساخت گيچ کنترل تعامد فلنچ ورودي کاتاليست اول</t>
  </si>
  <si>
    <t>C-CF1003</t>
  </si>
  <si>
    <t>ساخت گيچ کنترل فلنچ خروجي کاتاليست اول</t>
  </si>
  <si>
    <t>21</t>
  </si>
  <si>
    <t>C-CF1004</t>
  </si>
  <si>
    <t>ساخت  گيچ کنترل تعامد فلنچ خروجي کاتاليست اول</t>
  </si>
  <si>
    <t>20</t>
  </si>
  <si>
    <t>C-CF1005</t>
  </si>
  <si>
    <t>ساخت  فيکسچر کنترل آويز هاي لوله فلکسيبل دار</t>
  </si>
  <si>
    <t>19</t>
  </si>
  <si>
    <t>C-CF1006</t>
  </si>
  <si>
    <t>ساخت فيکسچر کنترل خم لوله خروجي کاتاليست دوم</t>
  </si>
  <si>
    <t>C-CF1007</t>
  </si>
  <si>
    <t>ساخت فيکسچر کنترل آويز هاي کاتاليست دوم</t>
  </si>
  <si>
    <t>C-CF1008</t>
  </si>
  <si>
    <t>ساخت فيکسچر تست نشتي کاتاليست اول</t>
  </si>
  <si>
    <t>29</t>
  </si>
  <si>
    <t>C-CF1009</t>
  </si>
  <si>
    <t>ساخت فيکسچر تست نشتي کاتاليست دوم</t>
  </si>
  <si>
    <t>31</t>
  </si>
  <si>
    <t>C-CF1010</t>
  </si>
  <si>
    <t>ساخت فيکسچر کنترل نهايي کاتاليست دوم</t>
  </si>
  <si>
    <t>C-CF1011</t>
  </si>
  <si>
    <t>ساخت فيکسچر تست نشتي لوله فلکسيبل دار</t>
  </si>
  <si>
    <t>C-CF1012</t>
  </si>
  <si>
    <t>ساخت فيکسچر کنترل نهايي لوله فلکسيبل دار</t>
  </si>
  <si>
    <t>C-CF1013</t>
  </si>
  <si>
    <t>پايان ساخت فيکسچر هاي کنترلي</t>
  </si>
  <si>
    <t>ساخت قالب کوتر مونوليت کاتاليست اول</t>
  </si>
  <si>
    <t>25</t>
  </si>
  <si>
    <t>56.21</t>
  </si>
  <si>
    <t>شل کاتاليست اول  Oساخت قالب فرم</t>
  </si>
  <si>
    <t>32</t>
  </si>
  <si>
    <t>31.41</t>
  </si>
  <si>
    <t>ساخت قالب درز جوش کاتاليست اول</t>
  </si>
  <si>
    <t>34.66</t>
  </si>
  <si>
    <t>ساخت قالب جازني مونوليت کاتاليست اول</t>
  </si>
  <si>
    <t>12.21</t>
  </si>
  <si>
    <t>ساخت قالب افزايش قطر دوسر شل کاتاليست اول</t>
  </si>
  <si>
    <t>42</t>
  </si>
  <si>
    <t>4.89</t>
  </si>
  <si>
    <t>ساخت قالب پولک بر بشقابي سايلنسر کاتاليست دوم</t>
  </si>
  <si>
    <t>39</t>
  </si>
  <si>
    <t>ساخت قالب کشش بشقابي کاتاليست دوم</t>
  </si>
  <si>
    <t>ساخت قالب پانچ و دوربر بشقابي سايلنسر کاتاليست دوم</t>
  </si>
  <si>
    <t>ساخت قالب فرم پله انتهايي بشقابي سايلنسر کاتاليست دوم</t>
  </si>
  <si>
    <t>سايلنسر کاتاليست دوم Oساخت قالب فرم</t>
  </si>
  <si>
    <t>سايلنسر کاتاليست دوم Uساخت قالب فرم</t>
  </si>
  <si>
    <t>ساخت قالب درز جوش سايلنسر کاتاليست دوم</t>
  </si>
  <si>
    <t>11</t>
  </si>
  <si>
    <t>ساخت قالب پانچ لوله توري قطر 55 سايلنسر کاتاليست دوم</t>
  </si>
  <si>
    <t>لوله توري قطر 55 کاتاليست دوم  Uساخت قالب فرم</t>
  </si>
  <si>
    <t>28</t>
  </si>
  <si>
    <t>لوله توري قطر 55 کاتاليست دوم Oساخت  قالب فرم</t>
  </si>
  <si>
    <t>ساخت قالب ال سيل</t>
  </si>
  <si>
    <t>6</t>
  </si>
  <si>
    <t>ساخت قالب هاي پوسته ورودي و خروجي</t>
  </si>
  <si>
    <t>120</t>
  </si>
  <si>
    <t>ساخت قالب هاي براکت ها</t>
  </si>
  <si>
    <t>ساخت قالب هاي کاور حرارتي</t>
  </si>
  <si>
    <t>C-DIE1020</t>
  </si>
  <si>
    <t>پايان ساخت قالب هاي مجموعه</t>
  </si>
  <si>
    <t>C-P1001</t>
  </si>
  <si>
    <t>ساخت فيکسچر درز جوش پوسته هاي ورودي کاتاليست اول</t>
  </si>
  <si>
    <t>96.88</t>
  </si>
  <si>
    <t>100</t>
  </si>
  <si>
    <t>C-P1002</t>
  </si>
  <si>
    <t>ساخت فيکسچر مونتاژ فلنچ ورودي به کاسه اي ورودي کاتاليست اول</t>
  </si>
  <si>
    <t>47</t>
  </si>
  <si>
    <t>59.69</t>
  </si>
  <si>
    <t>C-P1003</t>
  </si>
  <si>
    <t>ساخت فيکسچر درز جوش پوسته هاي خروجي کاتاليست اول</t>
  </si>
  <si>
    <t>71.93</t>
  </si>
  <si>
    <t>C-P1004</t>
  </si>
  <si>
    <t>ساخت فيکسچر مونتاژ آويز ها به مجموعه کاتاليست دوم</t>
  </si>
  <si>
    <t>83</t>
  </si>
  <si>
    <t>31.39</t>
  </si>
  <si>
    <t>C-P1005</t>
  </si>
  <si>
    <t>ساخت فيکسچر مونتاژ فلنچ خروجي به کاسه اي خروجي کاتاليست اول</t>
  </si>
  <si>
    <t>53.3</t>
  </si>
  <si>
    <t>C-P1006</t>
  </si>
  <si>
    <t>ساخت فيکسچر مونتاژ مجموعه ورودي و خروجي به کاتاباکس کاتاليست اول</t>
  </si>
  <si>
    <t>54</t>
  </si>
  <si>
    <t>46.39</t>
  </si>
  <si>
    <t>C-P1007</t>
  </si>
  <si>
    <t>ساخت فيکسچر براکت بالايي و پائيني به مجموعه کاتاليست اول</t>
  </si>
  <si>
    <t>33</t>
  </si>
  <si>
    <t>33.49</t>
  </si>
  <si>
    <t>C-P1008</t>
  </si>
  <si>
    <t>ساخت فيکسچر مونتاژ پيچ به فلنچ ورودي کاتاليست دوم</t>
  </si>
  <si>
    <t>C-P1009</t>
  </si>
  <si>
    <t>ساخت فيکسچر مونتاژ فلنچ ورودي به کاسه اي کاتاليست دوم</t>
  </si>
  <si>
    <t>16</t>
  </si>
  <si>
    <t>C-P1010</t>
  </si>
  <si>
    <t>ساخت فيکسچر مونتاژ کاسه اي ورودي و خروجي و لوله پانچ به سايلنسر کاتاليست دوم</t>
  </si>
  <si>
    <t>C-P1011</t>
  </si>
  <si>
    <t>ساخت فيکسچر دورجوش کاسه اي ورودي و خروجي به کاتاليست دوم</t>
  </si>
  <si>
    <t>5</t>
  </si>
  <si>
    <t>C-P1012</t>
  </si>
  <si>
    <t>ساخت فيکسچر دورجوش کاسه اي ورودي و خروجي به سايلنسر کاتاليست دوم</t>
  </si>
  <si>
    <t>27</t>
  </si>
  <si>
    <t>C-P1013</t>
  </si>
  <si>
    <t>ساخت فيکسچر مونتاژ فلنچ خروجي به لوله خروجي و دورجوش دستي کاتاليست دوم</t>
  </si>
  <si>
    <t>C-P1014</t>
  </si>
  <si>
    <t>ساخت فيکسچر مونتاژ آويز و قلاب آويز به مجموعه فلکسيبل دار</t>
  </si>
  <si>
    <t>12</t>
  </si>
  <si>
    <t>C-P1015</t>
  </si>
  <si>
    <t>ساخت فيکسچر مونتاژ فلنچ ورودي به لوله ورودي لوله فلکسيبل دار</t>
  </si>
  <si>
    <t>17</t>
  </si>
  <si>
    <t>C-P1016</t>
  </si>
  <si>
    <t>ساخت فيکسچر مونتاژ فلنچ خروجي به لوله خروجي لوله فلکسيبل دار</t>
  </si>
  <si>
    <t>C-P1017</t>
  </si>
  <si>
    <t>ساخت فيکسچر دورجوش فلنچ به لوله مشترک</t>
  </si>
  <si>
    <t>9</t>
  </si>
  <si>
    <t>C-P1018</t>
  </si>
  <si>
    <t>ساخت فيکسچر سوراخکاري محل مهره سنسور لوله فلکسيبل دار</t>
  </si>
  <si>
    <t>8</t>
  </si>
  <si>
    <t>C-P1019</t>
  </si>
  <si>
    <t>ساخت فيکسچر مونتاژ و دورجوش مهره سنسور لوله فلکسيبل دار</t>
  </si>
  <si>
    <t>C-P1020</t>
  </si>
  <si>
    <t>پايان ساخت فيکسچر هاي مونتاژي</t>
  </si>
  <si>
    <t>Progress Measurement System</t>
  </si>
  <si>
    <t>Preparation of materials</t>
  </si>
  <si>
    <t>previous period
 % Complete</t>
  </si>
  <si>
    <t>Ahead of schedule</t>
  </si>
  <si>
    <t>On time</t>
  </si>
  <si>
    <t>Inprogress</t>
  </si>
  <si>
    <t>Delay</t>
  </si>
  <si>
    <t>Project Name</t>
  </si>
  <si>
    <t>Remaining
(Days)</t>
  </si>
  <si>
    <t>cutting</t>
  </si>
  <si>
    <t>manual machining</t>
  </si>
  <si>
    <t>CNC machining</t>
  </si>
  <si>
    <t>manual milling</t>
  </si>
  <si>
    <t>CNC milling</t>
  </si>
  <si>
    <t>assembly</t>
  </si>
  <si>
    <t xml:space="preserve">    weight</t>
  </si>
  <si>
    <t>1403/10/15</t>
  </si>
  <si>
    <t>1403/6/24</t>
  </si>
  <si>
    <t>1403/6/18</t>
  </si>
  <si>
    <t>1403/7/29</t>
  </si>
  <si>
    <t>1403/7/18</t>
  </si>
  <si>
    <t>1403/5/15</t>
  </si>
  <si>
    <t>1403/5/17</t>
  </si>
  <si>
    <t>1403/7/10</t>
  </si>
  <si>
    <t>1403/6/20</t>
  </si>
  <si>
    <t>طراحی ندارد</t>
  </si>
  <si>
    <t>طراحی دارد</t>
  </si>
  <si>
    <t>design</t>
  </si>
  <si>
    <t>man-hour</t>
  </si>
  <si>
    <t>Activity ID</t>
  </si>
  <si>
    <t>Activity Name</t>
  </si>
  <si>
    <t>Total Float</t>
  </si>
  <si>
    <t>Original Duration</t>
  </si>
  <si>
    <t>Budgeted Labor Units</t>
  </si>
  <si>
    <t>BL Project Start</t>
  </si>
  <si>
    <t>BL Project Finish</t>
  </si>
  <si>
    <t>Start</t>
  </si>
  <si>
    <t>Finish</t>
  </si>
  <si>
    <t>Foton F38</t>
  </si>
  <si>
    <t>0d</t>
  </si>
  <si>
    <t>165d</t>
  </si>
  <si>
    <t>Jul-22-2024</t>
  </si>
  <si>
    <t>Apr-09-2025</t>
  </si>
  <si>
    <t xml:space="preserve">  planning</t>
  </si>
  <si>
    <t>3d</t>
  </si>
  <si>
    <t>89d</t>
  </si>
  <si>
    <t>Dec-04-2024</t>
  </si>
  <si>
    <t xml:space="preserve">    P1</t>
  </si>
  <si>
    <t>دريافت نمونه مرجع از مشتري</t>
  </si>
  <si>
    <t>2d</t>
  </si>
  <si>
    <t>Jul-23-2024</t>
  </si>
  <si>
    <t>1403/5/1</t>
  </si>
  <si>
    <t>1403/5/2</t>
  </si>
  <si>
    <t xml:space="preserve">    P2</t>
  </si>
  <si>
    <t>و انجام تستهاي مشخصه يابي GPF استخراج مونوليت کاتاليست و</t>
  </si>
  <si>
    <t>Aug-03-2024</t>
  </si>
  <si>
    <t>Aug-05-2024</t>
  </si>
  <si>
    <t>1403/5/13</t>
  </si>
  <si>
    <t xml:space="preserve">    P3</t>
  </si>
  <si>
    <t>تهيه آناليز قيمت محصول</t>
  </si>
  <si>
    <t>5d</t>
  </si>
  <si>
    <t>Aug-07-2024</t>
  </si>
  <si>
    <t xml:space="preserve">    P4</t>
  </si>
  <si>
    <t>بروز رساني آناليز قيمت مطابق جلسه برگزار شده</t>
  </si>
  <si>
    <t>1d</t>
  </si>
  <si>
    <t>Sep-08-2024</t>
  </si>
  <si>
    <t xml:space="preserve">    P5</t>
  </si>
  <si>
    <t>برگزاري جلسه مشترک با شرکت بهمن موتور</t>
  </si>
  <si>
    <t>Sep-09-2024</t>
  </si>
  <si>
    <t>1403/6/19</t>
  </si>
  <si>
    <t xml:space="preserve">    P6</t>
  </si>
  <si>
    <t>برگزاري جلسه هفتگي تيم مديريت پروژه</t>
  </si>
  <si>
    <t>1403/9/14</t>
  </si>
  <si>
    <t xml:space="preserve">  Product Design And Development</t>
  </si>
  <si>
    <t>10d</t>
  </si>
  <si>
    <t>135d</t>
  </si>
  <si>
    <t>Jul-24-2024</t>
  </si>
  <si>
    <t>Feb-15-2025</t>
  </si>
  <si>
    <t>GPF ساخت فيکسچر کنترل خم لوله هاي فشار</t>
  </si>
  <si>
    <t>49d</t>
  </si>
  <si>
    <t>Oct-09-2024</t>
  </si>
  <si>
    <t>Oct-13-2024</t>
  </si>
  <si>
    <t>1403/7/22</t>
  </si>
  <si>
    <t xml:space="preserve">    EM 1</t>
  </si>
  <si>
    <t>ساخت فيکسچر نمونه سازي</t>
  </si>
  <si>
    <t>1403/5/3</t>
  </si>
  <si>
    <t xml:space="preserve">    EM 2</t>
  </si>
  <si>
    <t>GPF دريافت نمونه مونوليت</t>
  </si>
  <si>
    <t>30d</t>
  </si>
  <si>
    <t>Sep-14-2024</t>
  </si>
  <si>
    <t>Oct-26-2024</t>
  </si>
  <si>
    <t>1403/8/5</t>
  </si>
  <si>
    <t xml:space="preserve">    EM 3</t>
  </si>
  <si>
    <t>GPF کوتينگ اوليه مونوليت کوت شده کاتاليست و</t>
  </si>
  <si>
    <t>Oct-27-2024</t>
  </si>
  <si>
    <t>Nov-09-2024</t>
  </si>
  <si>
    <t>1403/8/6</t>
  </si>
  <si>
    <t>1403/8/19</t>
  </si>
  <si>
    <t xml:space="preserve">    EM 4</t>
  </si>
  <si>
    <t>CKD کنينک نمونه اوليه مونوليت ها در</t>
  </si>
  <si>
    <t>Nov-10-2024</t>
  </si>
  <si>
    <t>1403/8/20</t>
  </si>
  <si>
    <t xml:space="preserve">    EM 5</t>
  </si>
  <si>
    <t>ISQI ارسال خودرو به مرکز تست</t>
  </si>
  <si>
    <t>Nov-11-2024</t>
  </si>
  <si>
    <t>1403/8/21</t>
  </si>
  <si>
    <t xml:space="preserve">    EM 6</t>
  </si>
  <si>
    <t>ISQI دريافت تائيديه تست آلايندگي از مرکز</t>
  </si>
  <si>
    <t>7d</t>
  </si>
  <si>
    <t>Nov-12-2024</t>
  </si>
  <si>
    <t>Nov-20-2024</t>
  </si>
  <si>
    <t>1403/8/22</t>
  </si>
  <si>
    <t>1403/8/30</t>
  </si>
  <si>
    <t xml:space="preserve">    TA1</t>
  </si>
  <si>
    <t>تعريف محصول بر روي سايت سينا توسط خودروساز</t>
  </si>
  <si>
    <t>14d</t>
  </si>
  <si>
    <t>Nov-27-2024</t>
  </si>
  <si>
    <t>Dec-10-2024</t>
  </si>
  <si>
    <t>1403/9/7</t>
  </si>
  <si>
    <t>1403/9/20</t>
  </si>
  <si>
    <t xml:space="preserve">    TA2</t>
  </si>
  <si>
    <t>TA  اخذ تاييديه</t>
  </si>
  <si>
    <t>60d</t>
  </si>
  <si>
    <t>Dec-11-2024</t>
  </si>
  <si>
    <t>Feb-08-2025</t>
  </si>
  <si>
    <t>1403/9/21</t>
  </si>
  <si>
    <t>1403/11/20</t>
  </si>
  <si>
    <t xml:space="preserve">    TA3</t>
  </si>
  <si>
    <t>به اداره استاندارد TA ارسال نتايج</t>
  </si>
  <si>
    <t>Feb-09-2025</t>
  </si>
  <si>
    <t>1403/11/21</t>
  </si>
  <si>
    <t>1403/11/27</t>
  </si>
  <si>
    <t xml:space="preserve">    Engineering</t>
  </si>
  <si>
    <t>21d</t>
  </si>
  <si>
    <t>38d</t>
  </si>
  <si>
    <t>Sep-29-2024</t>
  </si>
  <si>
    <t>Nov-19-2024</t>
  </si>
  <si>
    <t xml:space="preserve">      EN100</t>
  </si>
  <si>
    <t>GPF اسکن سه بعدي مجموعه کاتاليست و</t>
  </si>
  <si>
    <t>Oct-01-2024</t>
  </si>
  <si>
    <t>1403/7/8</t>
  </si>
  <si>
    <t xml:space="preserve">      EN101</t>
  </si>
  <si>
    <t>مدلسازي کاسه اي کاتاليست</t>
  </si>
  <si>
    <t>Oct-20-2024</t>
  </si>
  <si>
    <t>Oct-22-2024</t>
  </si>
  <si>
    <t>1403/8/1</t>
  </si>
  <si>
    <t xml:space="preserve">      EN102</t>
  </si>
  <si>
    <t>GPF مدلسازي کاسه اي ورودي و خروجي</t>
  </si>
  <si>
    <t>12d</t>
  </si>
  <si>
    <t>Oct-02-2024</t>
  </si>
  <si>
    <t>Oct-19-2024</t>
  </si>
  <si>
    <t>1403/7/11</t>
  </si>
  <si>
    <t>1403/7/28</t>
  </si>
  <si>
    <t xml:space="preserve">      EN103</t>
  </si>
  <si>
    <t>GPF مدلسازي هيت شيلد راست</t>
  </si>
  <si>
    <t>4d</t>
  </si>
  <si>
    <t>Oct-23-2024</t>
  </si>
  <si>
    <t>Oct-28-2024</t>
  </si>
  <si>
    <t>1403/8/2</t>
  </si>
  <si>
    <t>1403/8/7</t>
  </si>
  <si>
    <t xml:space="preserve">      EN104</t>
  </si>
  <si>
    <t>GPF مدلسازي هيت شيلد چپ</t>
  </si>
  <si>
    <t xml:space="preserve">      EN107</t>
  </si>
  <si>
    <t>GPF مدلسازي براکت هاي</t>
  </si>
  <si>
    <t>15d</t>
  </si>
  <si>
    <t>Oct-29-2024</t>
  </si>
  <si>
    <t>Nov-18-2024</t>
  </si>
  <si>
    <t>1403/8/8</t>
  </si>
  <si>
    <t>1403/8/28</t>
  </si>
  <si>
    <t xml:space="preserve">      EN108</t>
  </si>
  <si>
    <t>GPF مدلسازي کاور روي لوله</t>
  </si>
  <si>
    <t xml:space="preserve">      EN109</t>
  </si>
  <si>
    <t>مدلسازي کاورهاي کاتاليست</t>
  </si>
  <si>
    <t xml:space="preserve">      EN110</t>
  </si>
  <si>
    <t>مدلسازي براکت هاي جديد اضافه شده کاتاليست</t>
  </si>
  <si>
    <t>16d</t>
  </si>
  <si>
    <t>1403/8/29</t>
  </si>
  <si>
    <t xml:space="preserve">    Procurment</t>
  </si>
  <si>
    <t>69d</t>
  </si>
  <si>
    <t>Sep-10-2024</t>
  </si>
  <si>
    <t>Dec-16-2024</t>
  </si>
  <si>
    <t xml:space="preserve">      Pro101</t>
  </si>
  <si>
    <t>تعريف کد و ثبت درخواست خريد قالب ها</t>
  </si>
  <si>
    <t xml:space="preserve">      Pro102</t>
  </si>
  <si>
    <t>ثبت درخواست و کميسيون خريد الياف سراميکي</t>
  </si>
  <si>
    <t>8d</t>
  </si>
  <si>
    <t>Dec-07-2024</t>
  </si>
  <si>
    <t>1403/9/17</t>
  </si>
  <si>
    <t>1403/9/26</t>
  </si>
  <si>
    <t xml:space="preserve">      Pro103</t>
  </si>
  <si>
    <t>ثبت درخواست و کميسيون خريد فلنچ ها</t>
  </si>
  <si>
    <t xml:space="preserve">      Pro104</t>
  </si>
  <si>
    <t>ثبت درخواست و کميسيون خريد بست کمربندي از پيمانکاران</t>
  </si>
  <si>
    <t xml:space="preserve">      Pro105</t>
  </si>
  <si>
    <t>ثبت درخواست وکميسيون خريد پيچ ها</t>
  </si>
  <si>
    <t xml:space="preserve">      Pro106</t>
  </si>
  <si>
    <t>ثبت درخواست و کميسيون خريد لوله هاي فشار</t>
  </si>
  <si>
    <t xml:space="preserve">      Pro107</t>
  </si>
  <si>
    <t>GPF ثبت درخواست خريد مونوليت و مت</t>
  </si>
  <si>
    <t>Sep-13-2024</t>
  </si>
  <si>
    <t>1403/6/23</t>
  </si>
  <si>
    <t xml:space="preserve">      Pro108</t>
  </si>
  <si>
    <t>ثبت درخواست و کميسيون خريد شلنگ نخ دار</t>
  </si>
  <si>
    <t xml:space="preserve">      Pro109</t>
  </si>
  <si>
    <t>ثبت درخواست و کميسيون خريد بست شاخکدار</t>
  </si>
  <si>
    <t xml:space="preserve">      Pro110</t>
  </si>
  <si>
    <t>تعريف کد و ثبت درخواست خريد فيکسچر دورجوش کاتاليست</t>
  </si>
  <si>
    <t>11d</t>
  </si>
  <si>
    <t>Dec-09-2024</t>
  </si>
  <si>
    <t>1403/9/19</t>
  </si>
  <si>
    <t xml:space="preserve">      Pro111</t>
  </si>
  <si>
    <t>ثبت درخواست خريد و تامين مهره سنسور و فتينگ</t>
  </si>
  <si>
    <t xml:space="preserve">    Contracts</t>
  </si>
  <si>
    <t>9d</t>
  </si>
  <si>
    <t>28d</t>
  </si>
  <si>
    <t>Dec-25-2024</t>
  </si>
  <si>
    <t xml:space="preserve">      PD21</t>
  </si>
  <si>
    <t>انعقاد قرارداد با پيمانکار سازنده قالب ها</t>
  </si>
  <si>
    <t>Nov-26-2024</t>
  </si>
  <si>
    <t>1403/9/6</t>
  </si>
  <si>
    <t xml:space="preserve">      PD22</t>
  </si>
  <si>
    <t>انعقاد قرارداد با پيمانکار سازنده فيکسچر هاي دورجوش</t>
  </si>
  <si>
    <t>Dec-23-2024</t>
  </si>
  <si>
    <t>1403/10/3</t>
  </si>
  <si>
    <t xml:space="preserve">      PD23</t>
  </si>
  <si>
    <t>انعقاد قرارداد تامين لوله هاي فشار</t>
  </si>
  <si>
    <t>Dec-17-2024</t>
  </si>
  <si>
    <t>1403/9/27</t>
  </si>
  <si>
    <t>1403/10/5</t>
  </si>
  <si>
    <t xml:space="preserve">      PD24</t>
  </si>
  <si>
    <t>انعقاد قرارداد تامين بست کمربندي</t>
  </si>
  <si>
    <t xml:space="preserve">      PD26</t>
  </si>
  <si>
    <t>انعقاد قرارداد تامين فلنچ هاي ورودي و خروجي</t>
  </si>
  <si>
    <t xml:space="preserve">      PD36</t>
  </si>
  <si>
    <t>انعقاد قرارداد با شرکت بهمن موتور</t>
  </si>
  <si>
    <t>Nov-23-2024</t>
  </si>
  <si>
    <t>1403/9/3</t>
  </si>
  <si>
    <t xml:space="preserve">  Process Design And Development</t>
  </si>
  <si>
    <t>108d</t>
  </si>
  <si>
    <t>Apr-07-2025</t>
  </si>
  <si>
    <t xml:space="preserve">    Die</t>
  </si>
  <si>
    <t>92d</t>
  </si>
  <si>
    <t>Mar-01-2025</t>
  </si>
  <si>
    <t xml:space="preserve">      Die Design</t>
  </si>
  <si>
    <t>58d</t>
  </si>
  <si>
    <t>56d</t>
  </si>
  <si>
    <t>Dec-24-2024</t>
  </si>
  <si>
    <t xml:space="preserve">        GPF Cone(Inlet&amp;Outlet)</t>
  </si>
  <si>
    <t>48d</t>
  </si>
  <si>
    <t>43d</t>
  </si>
  <si>
    <t>Dec-08-2024</t>
  </si>
  <si>
    <t>GPF طراحي قالب برش بلنک کاسه اي ورودي و خروجي</t>
  </si>
  <si>
    <t>Dec-02-2024</t>
  </si>
  <si>
    <t>Dec-03-2024</t>
  </si>
  <si>
    <t>1403/9/12</t>
  </si>
  <si>
    <t>1403/9/13</t>
  </si>
  <si>
    <t>GPF طراحي قالب کشش کاسه اي ورودي و خروجي</t>
  </si>
  <si>
    <t>GPF طراحي قالب دوربر کاسه اي ورودي و خروجي</t>
  </si>
  <si>
    <t>Nov-28-2024</t>
  </si>
  <si>
    <t>1403/9/8</t>
  </si>
  <si>
    <t>GPF طراحي قالب پانچ و يقه کاسه اي ورودي و خروجي</t>
  </si>
  <si>
    <t>Nov-25-2024</t>
  </si>
  <si>
    <t>1403/9/5</t>
  </si>
  <si>
    <t>GPF طراحي قالب پانچ سوراخ مهره فيتينگ کاسه اي ورودي</t>
  </si>
  <si>
    <t>Nov-21-2024</t>
  </si>
  <si>
    <t>1403/9/1</t>
  </si>
  <si>
    <t>GPF طرحي قالب لب برگردان کاسه اي ورودي و خروجي</t>
  </si>
  <si>
    <t>1403/9/18</t>
  </si>
  <si>
    <t xml:space="preserve">        Other</t>
  </si>
  <si>
    <t>52d</t>
  </si>
  <si>
    <t>27d</t>
  </si>
  <si>
    <t>Nov-04-2024</t>
  </si>
  <si>
    <t>Back pressure طراحي قالب تبديل اتصال</t>
  </si>
  <si>
    <t>54d</t>
  </si>
  <si>
    <t>Dec-01-2024</t>
  </si>
  <si>
    <t>1403/9/11</t>
  </si>
  <si>
    <t>L90 شل O اصلاح و طراحي قالب فرم</t>
  </si>
  <si>
    <t>53d</t>
  </si>
  <si>
    <t>1403/8/14</t>
  </si>
  <si>
    <t>GPF طراحي قالب کاتر لبه محل مهره فيتينگ کاور چپ و راست روي شل</t>
  </si>
  <si>
    <t xml:space="preserve">        TWC Cone</t>
  </si>
  <si>
    <t>39d</t>
  </si>
  <si>
    <t>Dec-19-2024</t>
  </si>
  <si>
    <t>طراحي قالب برش بلنک کاسه اي ورودي و خروجي کاتاليست</t>
  </si>
  <si>
    <t>Dec-12-2024</t>
  </si>
  <si>
    <t>1403/9/22</t>
  </si>
  <si>
    <t>طراحي قالب کشش کاسه اي ورودي و خروجي کاتاليست</t>
  </si>
  <si>
    <t>Oct-24-2024</t>
  </si>
  <si>
    <t>1403/8/3</t>
  </si>
  <si>
    <t>طراحي قالب دوربر کاسه اي ورودي و خروجي کاتاليست</t>
  </si>
  <si>
    <t>طراحي قالب پانچ و يقه کاسه اي ورودي و خروجي کاتاليست</t>
  </si>
  <si>
    <t>طراحي قالب لب برگردان کاسه اي ورودي کاتاليست</t>
  </si>
  <si>
    <t>6d</t>
  </si>
  <si>
    <t>1403/9/29</t>
  </si>
  <si>
    <t xml:space="preserve">        GPF Cover</t>
  </si>
  <si>
    <t>24d</t>
  </si>
  <si>
    <t>GPF طراحي قالب کشش کاور چپ و راست روي شل</t>
  </si>
  <si>
    <t>GPFطراحي قالب تريم اول کاور چپ و راست روي شل</t>
  </si>
  <si>
    <t>GPFطراحي قالب پانچ دوسر کاور چپ و راست روي شل</t>
  </si>
  <si>
    <t>GPF طراحي قالب پانچ محل بست کمربندي کاور چپ و راست روي شل</t>
  </si>
  <si>
    <t>Oct-30-2024</t>
  </si>
  <si>
    <t>1403/8/9</t>
  </si>
  <si>
    <t>GPF طراحي قالب پانچ محل مهره فيتينگ کاور چپ روي شل</t>
  </si>
  <si>
    <t>GPF طراحي قالب پانچ محل مهره فيتينگ کاور راست روي شل</t>
  </si>
  <si>
    <t xml:space="preserve">        Brackets</t>
  </si>
  <si>
    <t>GPF طراحي قالب خم براکت روي شل</t>
  </si>
  <si>
    <t>GPFشکلL طراحي قالب خم براکت</t>
  </si>
  <si>
    <t>GPF طراحي قالب خم براکت لوله هاي فشار هوا</t>
  </si>
  <si>
    <t>طراحي قالب خم براکت بزرگ کاتاليست</t>
  </si>
  <si>
    <t>Dec-22-2024</t>
  </si>
  <si>
    <t>1403/10/2</t>
  </si>
  <si>
    <t>1403/10/4</t>
  </si>
  <si>
    <t>طراحي قالب خم براکت کوچک کاتاليست</t>
  </si>
  <si>
    <t>طراحي قالب خم براکت ورودي کاتاليست</t>
  </si>
  <si>
    <t>پايان طراحي قالب ها</t>
  </si>
  <si>
    <t xml:space="preserve">      Die Construction</t>
  </si>
  <si>
    <t>86d</t>
  </si>
  <si>
    <t>Feb-24-2025</t>
  </si>
  <si>
    <t xml:space="preserve">        C-7229</t>
  </si>
  <si>
    <t>ساخت قالب برش بلنک کاسه اي ورودي و خروجي کاتاليست</t>
  </si>
  <si>
    <t>25d</t>
  </si>
  <si>
    <t>Jan-11-2025</t>
  </si>
  <si>
    <t>1403/10/22</t>
  </si>
  <si>
    <t xml:space="preserve">        C-7230</t>
  </si>
  <si>
    <t>ساخت قالب کشش کاسه اي ورودي و خروجي کاتاليست</t>
  </si>
  <si>
    <t>84d</t>
  </si>
  <si>
    <t xml:space="preserve">        C-7231</t>
  </si>
  <si>
    <t>ساخت قالب دوربر کاسه اي ورودي و خروجي کاتاليست</t>
  </si>
  <si>
    <t>44d</t>
  </si>
  <si>
    <t>22d</t>
  </si>
  <si>
    <t>Jan-04-2025</t>
  </si>
  <si>
    <t xml:space="preserve">        C-7232</t>
  </si>
  <si>
    <t>ساخت قالب پانچ و يقه کاسه اي ورودي و خروجي کاتاليست</t>
  </si>
  <si>
    <t>19d</t>
  </si>
  <si>
    <t>Dec-29-2024</t>
  </si>
  <si>
    <t>1403/10/9</t>
  </si>
  <si>
    <t xml:space="preserve">        C-7233</t>
  </si>
  <si>
    <t>GPF ساخت قالب برش بلنک کاسه اي ورودي و خروجي</t>
  </si>
  <si>
    <t>23d</t>
  </si>
  <si>
    <t>Dec-30-2024</t>
  </si>
  <si>
    <t>1403/10/10</t>
  </si>
  <si>
    <t xml:space="preserve">        C-7234</t>
  </si>
  <si>
    <t>GPFساخت قالب کشش کاسه اي ورودي و خروجي</t>
  </si>
  <si>
    <t>78d</t>
  </si>
  <si>
    <t>29d</t>
  </si>
  <si>
    <t xml:space="preserve">        C-7235</t>
  </si>
  <si>
    <t>GPF ساخت قالب دوربر کاسه اي ورودي و خروجي</t>
  </si>
  <si>
    <t xml:space="preserve">        C-7236</t>
  </si>
  <si>
    <t>GPF ساخت قالب پانچ و يقه کاسه اي ورودي و خروجي</t>
  </si>
  <si>
    <t xml:space="preserve">        C-7237</t>
  </si>
  <si>
    <t>GPF ساخت قالب پانچ سوراخ مهره فيتينگ کاسه اي ورودي</t>
  </si>
  <si>
    <t xml:space="preserve">        C-7238</t>
  </si>
  <si>
    <t>GPF ساخت  قالب کشش کاور چپ و راست روي شل</t>
  </si>
  <si>
    <t>50d</t>
  </si>
  <si>
    <t>31d</t>
  </si>
  <si>
    <t>Dec-28-2024</t>
  </si>
  <si>
    <t>1403/10/8</t>
  </si>
  <si>
    <t xml:space="preserve">        C-7239</t>
  </si>
  <si>
    <t>GPFساخت قالب تريم اول کاور چپ و راست روي شل</t>
  </si>
  <si>
    <t>32d</t>
  </si>
  <si>
    <t xml:space="preserve">        C-7240</t>
  </si>
  <si>
    <t>GPFساخت قالب پانچ دوسر کاور چپ و راست روي شل</t>
  </si>
  <si>
    <t>35d</t>
  </si>
  <si>
    <t xml:space="preserve">        C-7241</t>
  </si>
  <si>
    <t>GPF ساخت قالب پانچ محل بست کمربندي کاور چپ و راست روي شل</t>
  </si>
  <si>
    <t>67d</t>
  </si>
  <si>
    <t xml:space="preserve">        C-7242</t>
  </si>
  <si>
    <t>GPF ساخت قالب پانچ محل مهره فيتينگ کاور چپ روي شل</t>
  </si>
  <si>
    <t>66d</t>
  </si>
  <si>
    <t xml:space="preserve">        C-7243</t>
  </si>
  <si>
    <t>GPF ساخت قالب پانچ محل مهره فيتينگ کاور راست روي شل</t>
  </si>
  <si>
    <t>72d</t>
  </si>
  <si>
    <t xml:space="preserve">        C-7244</t>
  </si>
  <si>
    <t>GPF ساخت قالب خم براکت روي شل</t>
  </si>
  <si>
    <t>42d</t>
  </si>
  <si>
    <t>Jan-07-2025</t>
  </si>
  <si>
    <t>1403/10/18</t>
  </si>
  <si>
    <t xml:space="preserve">        C-7245</t>
  </si>
  <si>
    <t>GPFشکلL ساخت قالب خم براکت</t>
  </si>
  <si>
    <t>36d</t>
  </si>
  <si>
    <t>Jan-14-2025</t>
  </si>
  <si>
    <t>1403/10/25</t>
  </si>
  <si>
    <t xml:space="preserve">        C-7246</t>
  </si>
  <si>
    <t>GPF ساخت قالب خم براکت لوله هاي فشار هوا</t>
  </si>
  <si>
    <t>GPF ساخت قالب لب برگردان کاسه اي ورودي و خروجي</t>
  </si>
  <si>
    <t>ساخت قالب لب برگردان کاسه اي ورودي کاتاليست</t>
  </si>
  <si>
    <t xml:space="preserve">        C-7299</t>
  </si>
  <si>
    <t>ساخت قالب خم براکت بزرگ کاتاليست</t>
  </si>
  <si>
    <t>33d</t>
  </si>
  <si>
    <t>Jan-16-2025</t>
  </si>
  <si>
    <t>1403/10/27</t>
  </si>
  <si>
    <t xml:space="preserve">        C-7300</t>
  </si>
  <si>
    <t>ساخت قالب خم براکت کوچک کاتاليست</t>
  </si>
  <si>
    <t>34d</t>
  </si>
  <si>
    <t>20d</t>
  </si>
  <si>
    <t xml:space="preserve">        C-7301</t>
  </si>
  <si>
    <t>ساخت قالب خم براکت ورودي کاتاليست</t>
  </si>
  <si>
    <t xml:space="preserve">        C-7377</t>
  </si>
  <si>
    <t>Back pressure ساخت قالب تبديل اتصال</t>
  </si>
  <si>
    <t xml:space="preserve">        C-7405</t>
  </si>
  <si>
    <t>L90 شل O اصلاح و ساخت قالب فرم</t>
  </si>
  <si>
    <t xml:space="preserve">        C-7429</t>
  </si>
  <si>
    <t>GPF ساخت قالب کاتر لبه محل مهره فيتينگ کاور چپ و راست روي شل</t>
  </si>
  <si>
    <t>Dec-26-2024</t>
  </si>
  <si>
    <t>1403/10/6</t>
  </si>
  <si>
    <t xml:space="preserve">        C-E</t>
  </si>
  <si>
    <t>پايان ساخت قالب ها</t>
  </si>
  <si>
    <t>1403/12/6</t>
  </si>
  <si>
    <t xml:space="preserve">        Outsource</t>
  </si>
  <si>
    <t>90d</t>
  </si>
  <si>
    <t xml:space="preserve">          OUT-C-01</t>
  </si>
  <si>
    <t>Embossed ساخت قالب هاي</t>
  </si>
  <si>
    <t xml:space="preserve">      Die Validation</t>
  </si>
  <si>
    <t>70d</t>
  </si>
  <si>
    <t xml:space="preserve">        OUT-V-01</t>
  </si>
  <si>
    <t>Embossed صحه گذاري قالب هاي</t>
  </si>
  <si>
    <t>Feb-25-2025</t>
  </si>
  <si>
    <t>1403/12/7</t>
  </si>
  <si>
    <t>1403/12/11</t>
  </si>
  <si>
    <t xml:space="preserve">        V-7229</t>
  </si>
  <si>
    <t>صحه گذاري قالب برش بلنک کاسه اي ورودي و خروجي کاتاليست</t>
  </si>
  <si>
    <t>Jan-15-2025</t>
  </si>
  <si>
    <t>1403/10/26</t>
  </si>
  <si>
    <t xml:space="preserve">        V-7230</t>
  </si>
  <si>
    <t>صحه گذاري قالب کشش کاسه اي ورودي و خروجي کاتاليست</t>
  </si>
  <si>
    <t xml:space="preserve">        V-7231</t>
  </si>
  <si>
    <t>صحه گذاري قالب دوربر کاسه اي ورودي و خروجي کاتاليست</t>
  </si>
  <si>
    <t xml:space="preserve">        V-7232</t>
  </si>
  <si>
    <t>صحه گذاري قالب پانچ و يقه کاسه اي ورودي و خروجي کاتاليست</t>
  </si>
  <si>
    <t>Jan-01-2025</t>
  </si>
  <si>
    <t>1403/10/12</t>
  </si>
  <si>
    <t xml:space="preserve">        V-7233</t>
  </si>
  <si>
    <t>GPF صحه گذاري قالب برش بلنک کاسه اي ورودي و خروجي</t>
  </si>
  <si>
    <t>37d</t>
  </si>
  <si>
    <t xml:space="preserve">        V-7234</t>
  </si>
  <si>
    <t>GPFصحه گذاري قالب کشش کاسه اي ورودي و خروجي</t>
  </si>
  <si>
    <t>62d</t>
  </si>
  <si>
    <t xml:space="preserve">        V-7235</t>
  </si>
  <si>
    <t>GPF صحه گذاري قالب دوربر کاسه اي ورودي و خروجي</t>
  </si>
  <si>
    <t xml:space="preserve">        V-7236</t>
  </si>
  <si>
    <t>GPF صحه گذاري قالب پانچ و يقه کاسه اي ورودي و خروجي</t>
  </si>
  <si>
    <t xml:space="preserve">        V-7237</t>
  </si>
  <si>
    <t>GPF صحه گذاري قالب پانچ سوراخ مهره فيتينگ کاسه اي ورودي</t>
  </si>
  <si>
    <t>45d</t>
  </si>
  <si>
    <t>Dec-21-2024</t>
  </si>
  <si>
    <t>1403/10/1</t>
  </si>
  <si>
    <t xml:space="preserve">        V-7238</t>
  </si>
  <si>
    <t>GPF صحه گذاري قالب کشش کاور چپ و راست روي شل</t>
  </si>
  <si>
    <t>Dec-31-2024</t>
  </si>
  <si>
    <t>1403/10/11</t>
  </si>
  <si>
    <t xml:space="preserve">        V-7239</t>
  </si>
  <si>
    <t>GPFصحه گذاري قالب تريم اول کاور چپ و راست روي شل</t>
  </si>
  <si>
    <t xml:space="preserve">        V-7240</t>
  </si>
  <si>
    <t>GPFصحه گذاري قالب پانچ دوسر کاور چپ و راست روي شل</t>
  </si>
  <si>
    <t xml:space="preserve">        V-7241</t>
  </si>
  <si>
    <t>GPF صحه گذاري قالب پانچ محل بست کمربندي کاور چپ و راست روي شل</t>
  </si>
  <si>
    <t xml:space="preserve">        V-7242</t>
  </si>
  <si>
    <t>GPF صحه گذاري قالب پانچ محل مهره فيتينگ کاور چپ روي شل</t>
  </si>
  <si>
    <t>Dec-14-2024</t>
  </si>
  <si>
    <t>1403/9/24</t>
  </si>
  <si>
    <t xml:space="preserve">        V-7243</t>
  </si>
  <si>
    <t>GPF صحه گذاري قالب پانچ محل مهره فيتينگ کاور راست روي شل</t>
  </si>
  <si>
    <t>57d</t>
  </si>
  <si>
    <t xml:space="preserve">        V-7244</t>
  </si>
  <si>
    <t>GPF صحه گذاري قالب خم براکت روي شل</t>
  </si>
  <si>
    <t>Jan-12-2025</t>
  </si>
  <si>
    <t>1403/10/23</t>
  </si>
  <si>
    <t xml:space="preserve">        V-7245</t>
  </si>
  <si>
    <t>GPFشکلL صحه گذاري قالب خم براکت</t>
  </si>
  <si>
    <t>Jan-19-2025</t>
  </si>
  <si>
    <t>1403/10/30</t>
  </si>
  <si>
    <t xml:space="preserve">        V-7246</t>
  </si>
  <si>
    <t>GPF صحه گذاري قالب خم براکت لوله هاي فشار هوا</t>
  </si>
  <si>
    <t>GPF صحه گذاري قالب لب برگردان کاسه اي ورودي و خروجي</t>
  </si>
  <si>
    <t xml:space="preserve">        V-7252</t>
  </si>
  <si>
    <t>GPF صحه گذاري قالب کاتر لبه محل مهره فيتينگ کاور چپ و راست روي شل</t>
  </si>
  <si>
    <t>41d</t>
  </si>
  <si>
    <t>صحه گذاري قالب لب برگردان کاسه اي ورودي کاتاليست</t>
  </si>
  <si>
    <t xml:space="preserve">        V-7299</t>
  </si>
  <si>
    <t>صحه گذاري قالب خم براکت بزرگ کاتاليست</t>
  </si>
  <si>
    <t>26d</t>
  </si>
  <si>
    <t>Jan-18-2025</t>
  </si>
  <si>
    <t>Jan-20-2025</t>
  </si>
  <si>
    <t>1403/10/29</t>
  </si>
  <si>
    <t>1403/11/1</t>
  </si>
  <si>
    <t xml:space="preserve">        V-7300</t>
  </si>
  <si>
    <t>صحه گذاري قالب خم براکت کوچک کاتاليست</t>
  </si>
  <si>
    <t xml:space="preserve">        V-7301</t>
  </si>
  <si>
    <t>صحه گذاري قالب خم براکت ورودي کاتاليست</t>
  </si>
  <si>
    <t xml:space="preserve">        V-7377</t>
  </si>
  <si>
    <t>Back pressure صحه گذاري قالب تبديل اتصال</t>
  </si>
  <si>
    <t xml:space="preserve">        V-7405</t>
  </si>
  <si>
    <t>L90 شل O اصلاح و صحه گذاري قالب فرم</t>
  </si>
  <si>
    <t xml:space="preserve">        V-E</t>
  </si>
  <si>
    <t>پايان تست و صحه گذاري قالبها</t>
  </si>
  <si>
    <t xml:space="preserve">    CF</t>
  </si>
  <si>
    <t>Jan-05-2025</t>
  </si>
  <si>
    <t xml:space="preserve">      CF Design</t>
  </si>
  <si>
    <t>Jan-13-2025</t>
  </si>
  <si>
    <t>طراحي فيکسچر کنترل نهايي کاتاليست</t>
  </si>
  <si>
    <t>1403/10/16</t>
  </si>
  <si>
    <t>طراحي فيکسچر تست نشتي کاتاليست</t>
  </si>
  <si>
    <t>طراحي فيکسچر کنترل فلنج ورودي کاتاليست</t>
  </si>
  <si>
    <t>1403/10/24</t>
  </si>
  <si>
    <t>طراحي فيکسچر کنترل فلنج خروجي کاتاليست</t>
  </si>
  <si>
    <t>GPF طراحي فيکسچر کنترل نهايي</t>
  </si>
  <si>
    <t>GPF طراحي فيکسچر تست نشتي</t>
  </si>
  <si>
    <t>پايان طراحي فيکسچر هاي کنترلي</t>
  </si>
  <si>
    <t xml:space="preserve">      CF Construction</t>
  </si>
  <si>
    <t>Jan-29-2025</t>
  </si>
  <si>
    <t>Apr-05-2025</t>
  </si>
  <si>
    <t xml:space="preserve">        C-7335</t>
  </si>
  <si>
    <t>ساخت فيکسچر کنترل نهايي کاتاليست</t>
  </si>
  <si>
    <t>40d</t>
  </si>
  <si>
    <t>Jan-30-2025</t>
  </si>
  <si>
    <t>1403/11/11</t>
  </si>
  <si>
    <t>1404/1/17</t>
  </si>
  <si>
    <t xml:space="preserve">        C-7336</t>
  </si>
  <si>
    <t>ساخت فيکسچر تست نشتي کاتاليست</t>
  </si>
  <si>
    <t xml:space="preserve">        C-7339</t>
  </si>
  <si>
    <t>ساخت فيکسچر کنترل فلنج ورودي کاتاليست</t>
  </si>
  <si>
    <t>17d</t>
  </si>
  <si>
    <t>Feb-19-2025</t>
  </si>
  <si>
    <t>1403/11/10</t>
  </si>
  <si>
    <t>1403/12/1</t>
  </si>
  <si>
    <t xml:space="preserve">        C-7340</t>
  </si>
  <si>
    <t>ساخت فيکسچر کنترل فلنج خروجي کاتاليست</t>
  </si>
  <si>
    <t xml:space="preserve">        C-7353</t>
  </si>
  <si>
    <t>GPF ساخت فيکسچر کنترل نهايي</t>
  </si>
  <si>
    <t xml:space="preserve">        C-7354</t>
  </si>
  <si>
    <t>GPF ساخت فيکسچر تست نشتي</t>
  </si>
  <si>
    <t xml:space="preserve">        C-7364</t>
  </si>
  <si>
    <t xml:space="preserve">      CF Validation</t>
  </si>
  <si>
    <t xml:space="preserve">        V-7335</t>
  </si>
  <si>
    <t>صحه گذاري فيکسچر کنترل نهايي کاتاليست</t>
  </si>
  <si>
    <t>1404/1/19</t>
  </si>
  <si>
    <t xml:space="preserve">        V-7336</t>
  </si>
  <si>
    <t>صحه گذاري فيکسچر تست نشتي کاتاليست</t>
  </si>
  <si>
    <t xml:space="preserve">        V-7339</t>
  </si>
  <si>
    <t>صحه گذاري فيکسچر کنترل فلنج ورودي کاتاليست</t>
  </si>
  <si>
    <t>Feb-22-2025</t>
  </si>
  <si>
    <t>1403/12/4</t>
  </si>
  <si>
    <t xml:space="preserve">        V-7340</t>
  </si>
  <si>
    <t>صحه گذاري فيکسچر کنترل فلنج خروجي کاتاليست</t>
  </si>
  <si>
    <t xml:space="preserve">        V-7353</t>
  </si>
  <si>
    <t>GPF صحه گذاري فيکسچر کنترل نهايي</t>
  </si>
  <si>
    <t xml:space="preserve">        V-7354</t>
  </si>
  <si>
    <t>GPF صحه گذاري فيکسچر تست نشتي</t>
  </si>
  <si>
    <t xml:space="preserve">        V-7364</t>
  </si>
  <si>
    <t>پايان صحه گذاري فيکسچر هاي کنترلي</t>
  </si>
  <si>
    <t xml:space="preserve">    PF</t>
  </si>
  <si>
    <t>80d</t>
  </si>
  <si>
    <t>Mar-15-2025</t>
  </si>
  <si>
    <t xml:space="preserve">      PF Design</t>
  </si>
  <si>
    <t>Mar-02-2025</t>
  </si>
  <si>
    <t>طراحي فيکسچر مونتاژ لوله ورودي به فلنچ ورودي کاتاليست</t>
  </si>
  <si>
    <t>Jan-28-2025</t>
  </si>
  <si>
    <t>Feb-01-2025</t>
  </si>
  <si>
    <t>1403/11/9</t>
  </si>
  <si>
    <t>1403/11/13</t>
  </si>
  <si>
    <t>طراحي متعلقات فيکسچر دورجوش لوله ورودي به فلنج ورودي کاتاليست</t>
  </si>
  <si>
    <t>Feb-18-2025</t>
  </si>
  <si>
    <t>1403/11/30</t>
  </si>
  <si>
    <t>طراحي فيکسچر مونتاژ لوله خروجي به فلنج خروجي کاتاليست</t>
  </si>
  <si>
    <t>Feb-04-2025</t>
  </si>
  <si>
    <t>1403/11/16</t>
  </si>
  <si>
    <t>طراحي فيکسچر سوراخکاري لوله خروجي کاتاليست</t>
  </si>
  <si>
    <t>طراحي فيکسچر مونتاژ مهره سنسور به لوله خروجي کاتاليست</t>
  </si>
  <si>
    <t>Feb-13-2025</t>
  </si>
  <si>
    <t>1403/11/25</t>
  </si>
  <si>
    <t>طراحي فيکسچر مونتاژ کاسه اي ورودي و خروجي به کاتاباکس کاتاليست</t>
  </si>
  <si>
    <t>GPF طراحي  متعلقات فيکسچر دورجوش اتومات مهره فشار هوا به لوله مياني</t>
  </si>
  <si>
    <t>طراحي فيکسچر مونتاژ مجموعه لوله ورودي و خروجي به کاتاباکس کاتاليست</t>
  </si>
  <si>
    <t>Jan-23-2025</t>
  </si>
  <si>
    <t>1403/11/4</t>
  </si>
  <si>
    <t>GPF طراحي فيکسچر مونتاژ لوله ورودي به فلنج ورودي</t>
  </si>
  <si>
    <t>GPF طراحي فيکسچر سوراخکاري لوله مياني</t>
  </si>
  <si>
    <t>GPF طراحي متعلقات دورجوش اتومات مهره فشار هوا به لوله مياني</t>
  </si>
  <si>
    <t>GPF طراحي فيکسچر مونتاژ لوله خروجي به فلنج خروجي</t>
  </si>
  <si>
    <t>GPF طراحي فيکسچر سوراخکاري لوله خروجي</t>
  </si>
  <si>
    <t>GPF طراحي فيکسچر مونتاژ مهره فشار هوا به لوله خروجي</t>
  </si>
  <si>
    <t>GPF طراحي فيکسچر مونتاژ مهره سنسور دما به کاسه اي ورودي</t>
  </si>
  <si>
    <t>GPF طراحي متعلقات دورجوش کاسه اي ورودي و خروجي به کاتاباکس</t>
  </si>
  <si>
    <t>GPF طراحي فيکسچر مونتاژ مجموعه لوله خروجي و لوله مياني به کاتاباکس</t>
  </si>
  <si>
    <t>GPF طراحي فيکسچر مونتاژ براکتها</t>
  </si>
  <si>
    <t>1403/12/12</t>
  </si>
  <si>
    <t>GPF طراحي فيکسچر مونتاژ مجموعه کاتاباکس و لوله ورودي به فلکسيبل</t>
  </si>
  <si>
    <t>طراحي فيکسچر مونتاژ کاسه اي ورودي به مجموعه لوله ورودي کاتاليست</t>
  </si>
  <si>
    <t>طراحي فيکسچر مونتاژ کاسه اي خروجي به مجموعه لوله خروجي کاتاليست</t>
  </si>
  <si>
    <t>GPF طراحي متعلقات مربوط به فيکسچر دورجوش لوله ورودي به فلنچ</t>
  </si>
  <si>
    <t>97d</t>
  </si>
  <si>
    <t xml:space="preserve">        End-PF</t>
  </si>
  <si>
    <t>پايان طراحي فيکسچر هاي توليدي</t>
  </si>
  <si>
    <t xml:space="preserve">      PF Construction</t>
  </si>
  <si>
    <t>74d</t>
  </si>
  <si>
    <t>Mar-13-2025</t>
  </si>
  <si>
    <t xml:space="preserve">        C-7327</t>
  </si>
  <si>
    <t>ساخت فيکسچر مونتاژ لوله ورودي به فلنچ ورودي کاتاليست</t>
  </si>
  <si>
    <t>Feb-23-2025</t>
  </si>
  <si>
    <t>1403/12/5</t>
  </si>
  <si>
    <t xml:space="preserve">        C-7328</t>
  </si>
  <si>
    <t>ساخت متعلقات فيکسچر دورجوش لوله ورودي به فلنج ورودي کاتاليست</t>
  </si>
  <si>
    <t>13d</t>
  </si>
  <si>
    <t>Mar-05-2025</t>
  </si>
  <si>
    <t>1403/12/15</t>
  </si>
  <si>
    <t xml:space="preserve">        C-7329</t>
  </si>
  <si>
    <t>ساخت فيکسچر مونتاژ لوله خروجي به فلنج خروجي کاتاليست</t>
  </si>
  <si>
    <t xml:space="preserve">        C-7330</t>
  </si>
  <si>
    <t>ساخت فيکسچر سوراخکاري لوله خروجي کاتاليست</t>
  </si>
  <si>
    <t xml:space="preserve">        C-7331</t>
  </si>
  <si>
    <t>ساخت فيکسچر مونتاژ مهره سنسور به لوله خروجي کاتاليست</t>
  </si>
  <si>
    <t>1403/12/23</t>
  </si>
  <si>
    <t xml:space="preserve">        C-7332</t>
  </si>
  <si>
    <t>ساخت فيکسچر مونتاژ کاسه اي ورودي و خروجي به کاتاباکس کاتاليست</t>
  </si>
  <si>
    <t>51d</t>
  </si>
  <si>
    <t xml:space="preserve">        C-7333</t>
  </si>
  <si>
    <t>GPF ساخت متعلقات فيکسچر دورجوش اتومات مهره فشار هوا به لوله مياني</t>
  </si>
  <si>
    <t>Mar-09-2025</t>
  </si>
  <si>
    <t>1403/12/19</t>
  </si>
  <si>
    <t xml:space="preserve">        C-7334</t>
  </si>
  <si>
    <t>ساخت فيکسچر مونتاژ مجموعه لوله ورودي و خروجي به کاتاباکس کاتاليست</t>
  </si>
  <si>
    <t xml:space="preserve">        C-7338</t>
  </si>
  <si>
    <t>ساخت فيکسچر حک رديابي کاتاليست</t>
  </si>
  <si>
    <t>Mar-10-2025</t>
  </si>
  <si>
    <t>1403/12/20</t>
  </si>
  <si>
    <t xml:space="preserve">        C-7342</t>
  </si>
  <si>
    <t>GPF ساخت فيکسچر مونتاژ لوله ورودي به فلنج ورودي</t>
  </si>
  <si>
    <t>Feb-03-2025</t>
  </si>
  <si>
    <t>1403/11/15</t>
  </si>
  <si>
    <t xml:space="preserve">        C-7343</t>
  </si>
  <si>
    <t>GPF ساخت فيکسچر سوراخکاري لوله مياني</t>
  </si>
  <si>
    <t xml:space="preserve">        C-7344</t>
  </si>
  <si>
    <t xml:space="preserve">        C-7345</t>
  </si>
  <si>
    <t>GPF ساخت فيکسچر مونتاژ لوله خروجي به فلنج خروجي</t>
  </si>
  <si>
    <t xml:space="preserve">        C-7346</t>
  </si>
  <si>
    <t>GPF ساخت فيکسچر سوراخکاري لوله خروجي</t>
  </si>
  <si>
    <t xml:space="preserve">        C-7347</t>
  </si>
  <si>
    <t>GPF ساخت فيکسچر مونتاژ مهره فشار هوا به لوله خروجي</t>
  </si>
  <si>
    <t xml:space="preserve">        C-7348</t>
  </si>
  <si>
    <t>GPF ساخت فيکسچر مونتاژ مهره سنسور دما به کاسه اي ورودي</t>
  </si>
  <si>
    <t xml:space="preserve">        C-7350</t>
  </si>
  <si>
    <t>GPF ساخت متعلقات دورجوش کاسه اي ورودي و خروجي به کاتاباکس</t>
  </si>
  <si>
    <t xml:space="preserve">        C-7351</t>
  </si>
  <si>
    <t>GPF ساخت فيکسچر مونتاژ مجموعه لوله خروجي و لوله مياني به کاتاباکس</t>
  </si>
  <si>
    <t xml:space="preserve">        C-7352</t>
  </si>
  <si>
    <t>GPF ساخت فيکسچر مونتاژ براکتها</t>
  </si>
  <si>
    <t xml:space="preserve">        C-7355</t>
  </si>
  <si>
    <t>GPF ساخت فيکسچر حک رديابي</t>
  </si>
  <si>
    <t xml:space="preserve">        C-7356</t>
  </si>
  <si>
    <t>GPF ساخت فيکسچر مونتاژ مجموعه کاتاباکس و لوله ورودي به فلکسيبل</t>
  </si>
  <si>
    <t>Feb-20-2025</t>
  </si>
  <si>
    <t>1403/12/2</t>
  </si>
  <si>
    <t xml:space="preserve">        C-7456</t>
  </si>
  <si>
    <t>GPF ساخت متعلقات مربوط به فيکسچر دورجوش لوله ورودي به فلنچ</t>
  </si>
  <si>
    <t xml:space="preserve">        EC -PF</t>
  </si>
  <si>
    <t>پايان ساخت فيکسچر هاي توليدي</t>
  </si>
  <si>
    <t xml:space="preserve">        OutSource</t>
  </si>
  <si>
    <t>Mar-03-2025</t>
  </si>
  <si>
    <t xml:space="preserve">          C-OS 1</t>
  </si>
  <si>
    <t>ساخت فيکسچر دورجوش فلنچ به کاسه اي ورودي کاتاليست</t>
  </si>
  <si>
    <t>1403/12/13</t>
  </si>
  <si>
    <t xml:space="preserve">          C-OS 2</t>
  </si>
  <si>
    <t>ساخت فيکسچر دورجوش فلنج به کاسه اي خروجي</t>
  </si>
  <si>
    <t xml:space="preserve">          C-OS 3</t>
  </si>
  <si>
    <t>ساخت فيکسچر دورجوش مجموعه کاسه اي ورودي و خروجي به کاتاباکس</t>
  </si>
  <si>
    <t xml:space="preserve">          C-OS 4</t>
  </si>
  <si>
    <t>ساخت فيکسچر دورجوش مجموعه لوله خروجي و لوله مياني به کاتاباکس</t>
  </si>
  <si>
    <t xml:space="preserve">          C-OS 5</t>
  </si>
  <si>
    <t>ساخت فيکسچر دورجوش مجموعه کاتاباکس و لوله ورودي به فلکسيبل</t>
  </si>
  <si>
    <t xml:space="preserve">          C-OS 6</t>
  </si>
  <si>
    <t>ساخت فيکسچر دورجوش فلنچ خروجي کاتاليست به لوله</t>
  </si>
  <si>
    <t xml:space="preserve">      PF Validation</t>
  </si>
  <si>
    <t xml:space="preserve">        EV-PF</t>
  </si>
  <si>
    <t>پايان صحه گذاري فيکسچر هاي توليدي</t>
  </si>
  <si>
    <t>1403/12/25</t>
  </si>
  <si>
    <t xml:space="preserve">        V-7327</t>
  </si>
  <si>
    <t>صحه گذاري فيکسچر مونتاژ لوله ورودي به فلنچ ورودي کاتاليست</t>
  </si>
  <si>
    <t xml:space="preserve">        V-7328</t>
  </si>
  <si>
    <t>صحه گذاري متعلقات فيکسچر دورجوش لوله ورودي به فلنج ورودي کاتاليست</t>
  </si>
  <si>
    <t>Mar-08-2025</t>
  </si>
  <si>
    <t>1403/12/18</t>
  </si>
  <si>
    <t xml:space="preserve">        V-7329</t>
  </si>
  <si>
    <t>صحه گذاري فيکسچر مونتاژ لوله خروجي به فلنج خروجي کاتاليست</t>
  </si>
  <si>
    <t xml:space="preserve">        V-7330</t>
  </si>
  <si>
    <t>صحه گذاري فيکسچر سوراخکاري لوله خروجي کاتاليست</t>
  </si>
  <si>
    <t xml:space="preserve">        V-7331</t>
  </si>
  <si>
    <t>صحه گذاري فيکسچر مونتاژ مهره سنسور به لوله خروجي کاتاليست</t>
  </si>
  <si>
    <t xml:space="preserve">        V-7332</t>
  </si>
  <si>
    <t>صحه گذاري فيکسچر مونتاژ کاسه اي ورودي و خروجي به کاتاباکس کاتاليست</t>
  </si>
  <si>
    <t>Jan-21-2025</t>
  </si>
  <si>
    <t>1403/11/2</t>
  </si>
  <si>
    <t xml:space="preserve">        V-7333</t>
  </si>
  <si>
    <t>GPF صحه گذاري متعلقات فيکسچر دورجوش اتومات مهره فشار هوا به لوله مياني</t>
  </si>
  <si>
    <t xml:space="preserve">        V-7334</t>
  </si>
  <si>
    <t>صحه گذاري فيکسچر مونتاژ مجموعه لوله ورودي و خروجي به کاتاباکس کاتاليست</t>
  </si>
  <si>
    <t xml:space="preserve">        V-7342</t>
  </si>
  <si>
    <t>GPF صحه گذاري فيکسچر مونتاژ لوله ورودي به فلنج ورودي</t>
  </si>
  <si>
    <t xml:space="preserve">        V-7343</t>
  </si>
  <si>
    <t>GPF صحه گذاري فيکسچر سوراخکاري لوله مياني</t>
  </si>
  <si>
    <t xml:space="preserve">        V-7344</t>
  </si>
  <si>
    <t xml:space="preserve">        V-7345</t>
  </si>
  <si>
    <t>GPF صحه گذاري فيکسچر مونتاژ لوله خروجي به فلنج خروجي</t>
  </si>
  <si>
    <t>Feb-11-2025</t>
  </si>
  <si>
    <t>1403/11/23</t>
  </si>
  <si>
    <t xml:space="preserve">        V-7346</t>
  </si>
  <si>
    <t>GPF صحه گذاري فيکسچر سوراخکاري لوله خروجي</t>
  </si>
  <si>
    <t xml:space="preserve">        V-7347</t>
  </si>
  <si>
    <t>GPF صحه گذاري فيکسچر مونتاژ مهره فشار هوا به لوله خروجي</t>
  </si>
  <si>
    <t xml:space="preserve">        V-7348</t>
  </si>
  <si>
    <t>GPF صحه گذاري فيکسچر مونتاژ مهره سنسور دما به کاسه اي ورودي</t>
  </si>
  <si>
    <t xml:space="preserve">        V-7350</t>
  </si>
  <si>
    <t>GPF صحه گذاري متعلقات دورجوش کاسه اي ورودي و خروجي به کاتاباکس</t>
  </si>
  <si>
    <t>47d</t>
  </si>
  <si>
    <t xml:space="preserve">        V-7351</t>
  </si>
  <si>
    <t>GPF صحه گذاري فيکسچر مونتاژ مجموعه لوله خروجي و لوله مياني به کاتاباکس</t>
  </si>
  <si>
    <t xml:space="preserve">        V-7352</t>
  </si>
  <si>
    <t>GPF صحه گذاري فيکسچر مونتاژ براکتها</t>
  </si>
  <si>
    <t xml:space="preserve">        V-7356</t>
  </si>
  <si>
    <t>GPF صحه گذاري فيکسچر مونتاژ مجموعه کاتاباکس و لوله ورودي به فلکسيبل</t>
  </si>
  <si>
    <t xml:space="preserve">        V-7456</t>
  </si>
  <si>
    <t>GPF صحه گذاري متعلقات مربوط به فيکسچر دورجوش لوله ورودي به فلنچ</t>
  </si>
  <si>
    <t>79d</t>
  </si>
  <si>
    <t xml:space="preserve">  Validation Product And Process</t>
  </si>
  <si>
    <t>105d</t>
  </si>
  <si>
    <t xml:space="preserve">    Supply of semi-finished parts</t>
  </si>
  <si>
    <t xml:space="preserve">      C-7378</t>
  </si>
  <si>
    <t>تامين لوله هاي فشار</t>
  </si>
  <si>
    <t xml:space="preserve">      C-7379</t>
  </si>
  <si>
    <t>تامين بست کمربندي</t>
  </si>
  <si>
    <t xml:space="preserve">      C-7380</t>
  </si>
  <si>
    <t>تامين فلنچ هاي ورودي و خروجي</t>
  </si>
  <si>
    <t xml:space="preserve">      C-7388</t>
  </si>
  <si>
    <t>تامين محموله الياف سراميکي (کاور) از تامين کنندگان</t>
  </si>
  <si>
    <t xml:space="preserve">      C-7390</t>
  </si>
  <si>
    <t>آماده سازي محموله مونوليت و مت</t>
  </si>
  <si>
    <t>Dec-15-2024</t>
  </si>
  <si>
    <t>1403/9/25</t>
  </si>
  <si>
    <t xml:space="preserve">      C-7398</t>
  </si>
  <si>
    <t>تامين محموله بست شاخکدار</t>
  </si>
  <si>
    <t xml:space="preserve">      C-7400</t>
  </si>
  <si>
    <t>حمل مونوليت و مت</t>
  </si>
  <si>
    <t xml:space="preserve">      C-7408</t>
  </si>
  <si>
    <t>تامين محموله مهره سنسور و فتينگ</t>
  </si>
  <si>
    <t xml:space="preserve">      C-7410</t>
  </si>
  <si>
    <t>تامين محموله خريد پيچ ها</t>
  </si>
  <si>
    <t xml:space="preserve">      C-7418</t>
  </si>
  <si>
    <t>تحويل مت و مونوليت از گمرک</t>
  </si>
  <si>
    <t>Jan-27-2025</t>
  </si>
  <si>
    <t>1403/11/8</t>
  </si>
  <si>
    <t xml:space="preserve">      C-7420</t>
  </si>
  <si>
    <t>تامين محموله شلنگ نخ دار</t>
  </si>
  <si>
    <t xml:space="preserve">      C-7430</t>
  </si>
  <si>
    <t>تامين مواد و قطعات نيم ساخته</t>
  </si>
  <si>
    <t xml:space="preserve">    Off tools Sample</t>
  </si>
  <si>
    <t>18d</t>
  </si>
  <si>
    <t xml:space="preserve">      Prd1</t>
  </si>
  <si>
    <t>توليد نمونه اوليه کاتاليست</t>
  </si>
  <si>
    <t xml:space="preserve">      Prd2</t>
  </si>
  <si>
    <t>توليد يک روز خط</t>
  </si>
  <si>
    <t>1404/1/21</t>
  </si>
  <si>
    <t xml:space="preserve">        C-7452</t>
  </si>
  <si>
    <t xml:space="preserve">        C-7453</t>
  </si>
  <si>
    <t xml:space="preserve">        C-7454</t>
  </si>
  <si>
    <t xml:space="preserve">        C-7455</t>
  </si>
  <si>
    <t xml:space="preserve">        V-7452</t>
  </si>
  <si>
    <t xml:space="preserve">        V-7453</t>
  </si>
  <si>
    <t>ساخت فيکسچر مونتاژ کاسه اي ورودي به مجموعه لوله ورودي کاتاليست</t>
  </si>
  <si>
    <t>ساخت فيکسچر مونتاژ کاسه اي خروجي به مجموعه لوله خروجي کاتاليست</t>
  </si>
  <si>
    <t xml:space="preserve">        V-7454</t>
  </si>
  <si>
    <t>صحه گذاری فيکسچر مونتاژ کاسه اي ورودي به مجموعه لوله ورودي کاتاليست</t>
  </si>
  <si>
    <t xml:space="preserve">        V-7455</t>
  </si>
  <si>
    <t>صحه گذاری فيکسچر مونتاژ کاسه اي خروجي به مجموعه لوله خروجي کاتاليست</t>
  </si>
  <si>
    <t>1403/12/04</t>
  </si>
  <si>
    <t xml:space="preserve">نمونه سازی </t>
  </si>
  <si>
    <t>Status date</t>
  </si>
  <si>
    <t>Category</t>
  </si>
  <si>
    <t>Fixture</t>
  </si>
  <si>
    <t>Completed</t>
  </si>
  <si>
    <t>In progress</t>
  </si>
  <si>
    <t>1404/3/15</t>
  </si>
  <si>
    <t>1404/3/2</t>
  </si>
  <si>
    <t>1404/3/5</t>
  </si>
  <si>
    <t>1404/3/6</t>
  </si>
  <si>
    <t>1404/3/9</t>
  </si>
  <si>
    <t>1404/3/12</t>
  </si>
  <si>
    <t>1404/4/6</t>
  </si>
  <si>
    <t>1404/3/16</t>
  </si>
  <si>
    <t>1404/4/13</t>
  </si>
  <si>
    <t>1404/4/4</t>
  </si>
  <si>
    <t>1404/4/8</t>
  </si>
  <si>
    <t>1404/4/10</t>
  </si>
  <si>
    <t>1404/3/20</t>
  </si>
  <si>
    <t>1404/3/29</t>
  </si>
  <si>
    <t>1404/3/19</t>
  </si>
  <si>
    <t>1404/3/25</t>
  </si>
  <si>
    <t>1404/4/3</t>
  </si>
  <si>
    <t>1404/1/22</t>
  </si>
  <si>
    <t>1404/1/12</t>
  </si>
  <si>
    <t>1404/4/18</t>
  </si>
  <si>
    <t>1404/5/8</t>
  </si>
  <si>
    <t>1404/2/14</t>
  </si>
  <si>
    <t>1404/4/9</t>
  </si>
  <si>
    <t>1404/4/15</t>
  </si>
  <si>
    <t>1404/4/26</t>
  </si>
  <si>
    <t>1404/2/21</t>
  </si>
  <si>
    <t>1404/2/2</t>
  </si>
  <si>
    <t>1404/04/20</t>
  </si>
  <si>
    <t>1404/05/25</t>
  </si>
  <si>
    <t>1404/04/25</t>
  </si>
  <si>
    <t>1404/05/07</t>
  </si>
  <si>
    <t>1404/05/01</t>
  </si>
  <si>
    <t>کد ساخت</t>
  </si>
  <si>
    <t xml:space="preserve">وضعیت </t>
  </si>
  <si>
    <t xml:space="preserve">عنوان درخواست </t>
  </si>
  <si>
    <t xml:space="preserve">روش ساخت </t>
  </si>
  <si>
    <t>شروع</t>
  </si>
  <si>
    <t xml:space="preserve">پایان </t>
  </si>
  <si>
    <t xml:space="preserve">شروع </t>
  </si>
  <si>
    <t xml:space="preserve">طراحی </t>
  </si>
  <si>
    <t>برشکاری</t>
  </si>
  <si>
    <t>تراشکاری منوال</t>
  </si>
  <si>
    <t>تراشکاری CNC</t>
  </si>
  <si>
    <t>فزرکاری CNC</t>
  </si>
  <si>
    <t>مونتاژ نهایی</t>
  </si>
  <si>
    <t xml:space="preserve">پیشرفت ساخت </t>
  </si>
  <si>
    <t>پیشرفت کل</t>
  </si>
  <si>
    <t>فرز منوال</t>
  </si>
  <si>
    <t xml:space="preserve">فرآیند طراحی و ساخت </t>
  </si>
  <si>
    <t>واقعی</t>
  </si>
  <si>
    <t>برنامه ریزی</t>
  </si>
  <si>
    <t>1404/05/04</t>
  </si>
  <si>
    <t>1404/05/08</t>
  </si>
  <si>
    <t xml:space="preserve">سختکاری </t>
  </si>
  <si>
    <t xml:space="preserve">کد </t>
  </si>
  <si>
    <t xml:space="preserve">عنوان در خواست </t>
  </si>
  <si>
    <t>تحلیل /تائید طرح</t>
  </si>
  <si>
    <t xml:space="preserve">خرید مواد اولیه  </t>
  </si>
  <si>
    <t>فرز CNC</t>
  </si>
  <si>
    <t>Equipment</t>
  </si>
  <si>
    <t xml:space="preserve"> Equipment</t>
  </si>
  <si>
    <t>ساخت قالب O   دو منظوره برای قطرها   50 و 48 میلیمتر با طول 550 میلیمتر</t>
  </si>
  <si>
    <t>1404/05/15</t>
  </si>
  <si>
    <t xml:space="preserve">فنر در تاریخ 5 مرداد خریداری شد و مورخ 7 مرداد صحه گذاری می شود </t>
  </si>
  <si>
    <t>Die</t>
  </si>
  <si>
    <t>Whole set of XB1 Catalytic Converter and GPF and Exhaust</t>
  </si>
  <si>
    <t>Whole set of Xb1 Catalytic Converter and GPF and Exhaust</t>
  </si>
  <si>
    <t>رینگی کلاف جهت انجام فرآیند فرم دهی و نقطه جوش پوسته الیت و بایکX7 و XB1</t>
  </si>
  <si>
    <t xml:space="preserve">نمونه شاهد </t>
  </si>
  <si>
    <t>1404/04/26</t>
  </si>
  <si>
    <t>فیکسچر مونتاژ آویز و تقویتی به مجموعه XB1 GPF</t>
  </si>
  <si>
    <t>فیکسچر مونتاژ نهایی XB1 GPF</t>
  </si>
  <si>
    <t>فیکسچر مونتاژ کاسه ورودی و خروجی به سایلنسر (عمودی) XB1 GPF</t>
  </si>
  <si>
    <t xml:space="preserve">فیکسچر جازنی اسکلت در سایلنسر XB1 GPF </t>
  </si>
  <si>
    <t>فیکسچر مونتاژ لوله  توری به درب داخلی چپ منبع XB1 GPF</t>
  </si>
  <si>
    <t>1404/06/03</t>
  </si>
  <si>
    <t>1404/07/15</t>
  </si>
  <si>
    <t>فیکسچر مونتاژ لوله  توری به درب داخلی راست منبع XB1 GPF</t>
  </si>
  <si>
    <t>فیکسچر مونتاژ کاسه ای ورودی و خروجی به شل +جوش براکت XB1 GPF</t>
  </si>
  <si>
    <t>فیکسچر دورجوش فلنچ به کاسه ای ورودی (بلبرینگ کف گرد) XB1 GPF</t>
  </si>
  <si>
    <t xml:space="preserve">فیکسچر مونتاژ فلنچ به کاسه ای ورودی (فلنچ پیچ خورده) XB1 GPF </t>
  </si>
  <si>
    <t>فیکسچر مونتاژ فلنچ به لوله خروجی XB1 GPF</t>
  </si>
  <si>
    <t xml:space="preserve"> قالب پیش فرم قبل و بعد از فلنج پوسته منبع اگزوز فیدلیتی و XB1</t>
  </si>
  <si>
    <t xml:space="preserve"> نافی دو منظوره با فیدلیتی پرایم جهت فیکسچر مونتاژ پیچ به فلنچ XB1 GPF</t>
  </si>
  <si>
    <t>فیکسچر مونتاژ لوله های فشار  به مجموعه XB1 GPF</t>
  </si>
  <si>
    <t>فیکسچر دورجوش کاسه ای ورودی و خروجی به شل XB1 GPF</t>
  </si>
  <si>
    <t>1404/04/09</t>
  </si>
  <si>
    <t>قالب در پوش لوله توری ورودی جهت پروژه منبع XB1</t>
  </si>
  <si>
    <t>1404/05/27</t>
  </si>
  <si>
    <t>قالب پیش فرم کاسه ای خروجی کاتالیست XB1</t>
  </si>
  <si>
    <t>قالب کشش نهایی کاسه ای خروجی کاتالیست XB1</t>
  </si>
  <si>
    <t>1404/06/25</t>
  </si>
  <si>
    <t>قالب دوربری کاسه ای خروجی کاتالیست XB1</t>
  </si>
  <si>
    <t>1404/06/30</t>
  </si>
  <si>
    <t>قالب پانچ و یقه کاسه ای خروجی کاتالیست XB1</t>
  </si>
  <si>
    <t>فیکسچر مونتاژ آویز و کمک آویزها قطعه لوله فلکسیبل دار XB1</t>
  </si>
  <si>
    <t>فیکسچر مونتاژ مجموعه ورودی و خروجی به فلکسیبل قطعه لوله فلکسیبل دار XB1</t>
  </si>
  <si>
    <t>فیکسچر مونتاژ فلنچ خروجی به لوله خروجی قطعه لوله فلکسیبل دار XB1</t>
  </si>
  <si>
    <t>فیکسچر مونتاژ مهره سنسور به مجموعه ورودی قطعه لوله فلکسیبل دار XB1</t>
  </si>
  <si>
    <t>فیکسچر سوراخکاری محل مهره سنسور قطعه لوله فلکسیبل دار XB1</t>
  </si>
  <si>
    <t>فیکسچر مونتاژ فلنچ ورودی به لوله ورودی قطعه لوله فلکسیبل دار XB1</t>
  </si>
  <si>
    <t>فیکسچر مونتاژ کاورهای حرارتی بالا و پایین بر روی کاتالیست XB1</t>
  </si>
  <si>
    <t>فیکسچر مونتاژ براکت ورودی و براکت روی شل کاتالیست XB1</t>
  </si>
  <si>
    <t>قرار جوش مهره جوشی به براکت اتصال ورودی و براکت نگه دارنده روی شل کاتالیست  XB1</t>
  </si>
  <si>
    <t>فیکسچر مونتاژ مجموعه ورودی و خروجی به کاتاباکس  کاتالیست XB1</t>
  </si>
  <si>
    <t>فیکسچر مونتاژ کاسه ای خروجی به فلنچ خروجی  کاتالیست XB1</t>
  </si>
  <si>
    <t>فیکسچر جوش پیچ به فلنچ خروجی  کاتالیست XB1</t>
  </si>
  <si>
    <t>فیکسچر دورجوش از بیرون کاسه ای ورودی به فلنچ ورودی  کاتالیست Xb1-دورجوش دستی با بلبرینگ کف گرد</t>
  </si>
  <si>
    <t>فیکسچر مونتاژ کاسه ای ورودی به فلنچ ورودی  کاتالیست XB1</t>
  </si>
  <si>
    <t>فیکسچر رباتیک درزجوش پوسته های خارجی ورودی کاتالیست XB1</t>
  </si>
  <si>
    <t>فیکسچر مونتاژ مهر سنسور به پوسته خارجی ورودی پایینی کاتالیست XB1</t>
  </si>
  <si>
    <t>ساخت فیکسچر (آهنگری) منبع انتهایی Fidelity - XB1</t>
  </si>
  <si>
    <t>فیکسچر حک شناسایی و ردیابی منبع انتهایی فیدلیتی XB1</t>
  </si>
  <si>
    <t>فیکسچر مونتاژ واشر به آویز منبع انتهایی فیدلیتی XB1</t>
  </si>
  <si>
    <t>فیکسچر مونتاژ لوله به فلنچ منبع انتهایی فیدلیتی XB1</t>
  </si>
  <si>
    <t>فیکسچر مونتاژ نهایی منبع انتهایی فیدلیتی XB1</t>
  </si>
  <si>
    <t>فیکسچر مونتاژ لوله توری به لوله S شکل داخلی منبع انتهایی فیدلیتی XB1</t>
  </si>
  <si>
    <t>فیکسچر رباتیک درزجوش پوسته های داخلی ورودی کاتالیست XB1</t>
  </si>
  <si>
    <t>فیکسچر کنترلی آویز و کمک آویز قطعه لوله فلکسیبل دار XB1</t>
  </si>
  <si>
    <t>فیکسچر کنترلی خم لوله ورودی و خروجی قطعه لوله فلکسیبل دار XB1</t>
  </si>
  <si>
    <t>فیکسچر کنترل نهایی قطعه لوله فلکسیبل دار XB1</t>
  </si>
  <si>
    <t>فیکسچر تست نشتی فلومتری قطعه لوله فلکسیبل دار XB1</t>
  </si>
  <si>
    <t>فیکسچر کنترل نهایی کاتالیست XB1</t>
  </si>
  <si>
    <t>فیکسچر تست نشتی فلومتری  کاتالیست XB1</t>
  </si>
  <si>
    <t>قالب پانچ موقعیت لوله فشار بشقابی خروجی GPF</t>
  </si>
  <si>
    <t>1404/06/08</t>
  </si>
  <si>
    <t>فیکسچر مونتاژ و خال جوش اسکلت داخلی XB1</t>
  </si>
  <si>
    <t xml:space="preserve"> فیکسچر کنترل خم لوله خم دار داخلی سایلنسر</t>
  </si>
  <si>
    <t xml:space="preserve"> فیکسچر کنترل خم لوله های فشار </t>
  </si>
  <si>
    <t xml:space="preserve"> فیکسچر کنترل نهاییGPF</t>
  </si>
  <si>
    <t xml:space="preserve"> فیکسچر تست نشتی فلومتریGPF</t>
  </si>
  <si>
    <t xml:space="preserve"> فیکسچر کنترل خم لوله خروجی </t>
  </si>
  <si>
    <t xml:space="preserve"> فیکسچر کنترل خم آویز ها و تقویتی ها </t>
  </si>
  <si>
    <t xml:space="preserve"> فیکسچر کنترل خم لوله ورودی منبع انتهایی فیدلیتی XB1</t>
  </si>
  <si>
    <t xml:space="preserve"> فیکسچر کنترل لوله داخلی S شکل منبع انتهایی فیدلیتی XB1</t>
  </si>
  <si>
    <t xml:space="preserve"> فیکسچر کنترل خم لوله خروجی و  فارسی بر لوله چپ و راست منبع انتهایی فیدلیتی XB1</t>
  </si>
  <si>
    <t xml:space="preserve"> فیکسچر تست نشتی فلومتری منبع انتهایی فیدلیتی XB1</t>
  </si>
  <si>
    <t xml:space="preserve"> فیکسچر کنترل آویز منبع انتهایی فیدلیتی XB1</t>
  </si>
  <si>
    <t xml:space="preserve"> فیکسچر کنترل نهایی منبع انتهایی فیدلیتی XB1</t>
  </si>
  <si>
    <t xml:space="preserve"> شابلون تفکیک سنبه های پانچ , قالب پانچ مشبک درب های داخلی الیت و XB1 (جهت خارج کردن سنبه های اضافی برای هر قطعه)</t>
  </si>
  <si>
    <t>1404/06/15</t>
  </si>
  <si>
    <t>1404/06/22</t>
  </si>
  <si>
    <t>N/A</t>
  </si>
  <si>
    <t>فیکسچر مونتاژ نهایی+آویز و تقویتی+لوله های فشار XB1 GPF</t>
  </si>
  <si>
    <t xml:space="preserve"> فیکسچر کنترل خم لوله خروجی و  فارسی بر لوله چپ و راست منبع خم لوله ورودی انتهایی فیدلیتی XB1</t>
  </si>
  <si>
    <t>XB1-Catalyst</t>
  </si>
  <si>
    <t xml:space="preserve"> فیکسچر کنترل خم آویز ها و تقویتی ها GPF</t>
  </si>
  <si>
    <t xml:space="preserve"> فیکسچر کنترل خم لوله خروجی GPF</t>
  </si>
  <si>
    <t xml:space="preserve"> فیکسچر کنترل خم لوله های فشار GPF</t>
  </si>
  <si>
    <t xml:space="preserve"> فیکسچر کنترل خم لوله خم دار داخلی سایلنسرGPF</t>
  </si>
  <si>
    <t xml:space="preserve">قالب پانچ لوله 54 با قطر پانچ  4 میلی متر </t>
  </si>
  <si>
    <t>1404/04/21</t>
  </si>
  <si>
    <t>1404/07/05</t>
  </si>
  <si>
    <t>1404/06/10</t>
  </si>
  <si>
    <t xml:space="preserve"> Xb1 Down Pipe</t>
  </si>
  <si>
    <t>1404/06/24</t>
  </si>
  <si>
    <t>1404/07/12</t>
  </si>
  <si>
    <t>1404/06/27</t>
  </si>
  <si>
    <t>1404/06/18</t>
  </si>
  <si>
    <t>1404/06/19</t>
  </si>
  <si>
    <t>1404/07/04</t>
  </si>
  <si>
    <t>1404/07/09</t>
  </si>
  <si>
    <t>1404/07/06</t>
  </si>
  <si>
    <t>1404/06/11</t>
  </si>
  <si>
    <t>1404/07/20</t>
  </si>
  <si>
    <t>1404/06/06</t>
  </si>
  <si>
    <t>1404/06/28</t>
  </si>
  <si>
    <t>فیکسچر مونتاژ اسکلت داخلی منبع انتهایی فیدلیتی XB1</t>
  </si>
  <si>
    <t>1404/05/21</t>
  </si>
  <si>
    <t>1404/07/02</t>
  </si>
  <si>
    <t>1404/07/03</t>
  </si>
  <si>
    <t>1404/07/25</t>
  </si>
  <si>
    <t>1404/07/10</t>
  </si>
  <si>
    <t>1404/04/31</t>
  </si>
  <si>
    <t>1404/07/01</t>
  </si>
  <si>
    <t>1404/06/20</t>
  </si>
  <si>
    <t>1404/07/07</t>
  </si>
  <si>
    <t>فیکسچر مونتاژ فلنچ ورودی به لوله ورودی انباره انتهایی XB1</t>
  </si>
  <si>
    <t>1404/06/29</t>
  </si>
  <si>
    <t>شروع برنامه ریزی</t>
  </si>
  <si>
    <t>پایان برنامه ریزی</t>
  </si>
  <si>
    <t>شروع برنامه ریزی(میلادی)</t>
  </si>
  <si>
    <t>پایان برنامه ریزی(میلادی)</t>
  </si>
  <si>
    <t>شروع واقعی</t>
  </si>
  <si>
    <t>پایان واقعی</t>
  </si>
  <si>
    <t>شروع واقعی(میلادی)</t>
  </si>
  <si>
    <t>پایان واقعی(میلادی)</t>
  </si>
  <si>
    <t>1404/07/29</t>
  </si>
  <si>
    <t>1404/07/19</t>
  </si>
  <si>
    <t>1404/08/03</t>
  </si>
  <si>
    <t>فیکسچر رباتیک درزجوش پوسته‌های خارجی ورودی کاتالیست XB1</t>
  </si>
  <si>
    <t>1404/07/14</t>
  </si>
  <si>
    <t>1404/07/16</t>
  </si>
  <si>
    <t>نمونه شاهد</t>
  </si>
  <si>
    <t>1404/06/17</t>
  </si>
  <si>
    <t>1404/06/14</t>
  </si>
  <si>
    <t>1404/05/18</t>
  </si>
  <si>
    <t>1404/05/11</t>
  </si>
  <si>
    <t>1404/07/28</t>
  </si>
  <si>
    <t>1404/05/29</t>
  </si>
  <si>
    <t>1404/05/22</t>
  </si>
  <si>
    <t>1404/05/20</t>
  </si>
  <si>
    <t>1404/07/18</t>
  </si>
  <si>
    <t>1404/06/05</t>
  </si>
  <si>
    <t>نام پروژه</t>
  </si>
  <si>
    <t>XB1</t>
  </si>
  <si>
    <t>ساخت فیکسچر تست نشتی فلومتری مجموعه منبع انتهایی لاماری اکو</t>
  </si>
  <si>
    <t>ساخت فیکسچر کنترل خم و فارسی بر لوله خروجی مجموعه منبع انتهایی لاماری اکو</t>
  </si>
  <si>
    <t xml:space="preserve">فیکسچر مونتاژ واشر به آویز قطر 15 منبع انتهایی لاماری اکو </t>
  </si>
  <si>
    <t>فیکسچر مونتاژ نهایی +پایه براکت و آویز ها مجموعه منبع انتهایی لاماری اکو</t>
  </si>
  <si>
    <t>ساخت فیکسچر کنترل نهایی مجموعه منبع انتهایی لاماری اکو</t>
  </si>
  <si>
    <t>ساخت فیکسچر کنترل آویز ها ی مجموعه اگزوز لاماری اکو</t>
  </si>
  <si>
    <t xml:space="preserve">فیکسچر تست نشتی انباره میانی لاماری اکو </t>
  </si>
  <si>
    <t>ساخت فیکسچر کنترل خم لوله خروجی مجموعه منبع میانی لاماری اکو</t>
  </si>
  <si>
    <t xml:space="preserve">فیکسچر مونتاژ واشر به آویز قطر 15 منبع میانی لاماری اکو </t>
  </si>
  <si>
    <t xml:space="preserve">فیکسچر مونتاژ واشر به آویز قطر 12 لوله فلکسیبل دار  لاماری اکو </t>
  </si>
  <si>
    <t>فیکسچر مونتاژ نهایی مجموعه منبع میانی لاماری اکو</t>
  </si>
  <si>
    <t>فیکسچر مونتاژ فلنچ به لوله خروجی مجموعه منبع میانی لاماری اکو</t>
  </si>
  <si>
    <t>ساخت فیکسچر کنترل نهایی مجموعه منبع میانی لاماری اکو</t>
  </si>
  <si>
    <t>فیکسچر مونتاژ لوله به فلنچ ورودی (دومنظوره) مجموعه منبع میانی لاماری اکو</t>
  </si>
  <si>
    <t>فیکسچر مونتاژی مجموعه منبع میانی اگزوز لاماری اِکو</t>
  </si>
  <si>
    <t>فیکسچر مونتاژ نهایی مجموعه فلکسیبل لاماری اکو</t>
  </si>
  <si>
    <t>فیکسچر مونتاژ  براکت، آویز و تقویتی آویز مجموعه فلکسیبل لاماری اکو</t>
  </si>
  <si>
    <t>ساخت فیکسچر کنترل خم لوله ورودی و خروجی مجموعه فلکسیبل لاماری اکو</t>
  </si>
  <si>
    <t>ساخت فیکسچر تست نشتی فلومتری مجموعه فلکسیبل لاماری اکو</t>
  </si>
  <si>
    <t>فیکسچر خال جوش فلنچ به لوله خروجی مجموعه فلکسیبل لاماری اکو</t>
  </si>
  <si>
    <t xml:space="preserve">فیکسچر مونتاژ کاسه ای ورودی به فلنچ ورودی کاتالیست لاماری اکو </t>
  </si>
  <si>
    <t xml:space="preserve">ساخت فیکسچر تست نشتی فلومتری کاتالیست لاماری اکو </t>
  </si>
  <si>
    <t xml:space="preserve">فیکسچر مونتاژ کاسه ای خروجی به فلنچ خروجی کاتالیست لاماری اکو </t>
  </si>
  <si>
    <t>ساخت فیکسچر کنترل نهایی مجموعه فلکسیبل لاماری اکو</t>
  </si>
  <si>
    <t>ساخت فیکسچر مونتاژ براکت های کاور حرارتی خروجی کاتالیست لاماری اکو</t>
  </si>
  <si>
    <t>ساخت فیکسچر مونتاژ براکت های کاور حرارتی ورودی کاتالیست لاماری اکو</t>
  </si>
  <si>
    <t>گیج کنترل دهانه شل کاتالیست لاماری اکو  در مرحله جازنی مت و مونولیت به شل</t>
  </si>
  <si>
    <t xml:space="preserve">فیکسچر جوش پیچ به فلنچ خروجی کاتالیست لاماری اکو </t>
  </si>
  <si>
    <t>ساخت فیکسچر کنترل نهایی کاتالیست لاماری اکو</t>
  </si>
  <si>
    <t xml:space="preserve"> فیکسچر مونتاژی مجموعه لوله فلکسیبل جلویی اگزوز لاماری اِکو </t>
  </si>
  <si>
    <t>فیکسچر مونتاژ پیچ به فلنچ مجموعه منبع میانی لاماری اکو</t>
  </si>
  <si>
    <t>فیکسچر دورجوش فلنچ به لوله ورودی مجموعه فلکسیبل (چند منظوره) مجموعه فلکسیبل لاماری اکو</t>
  </si>
  <si>
    <t>فیکسچر مونتاژ لوله به فلنچ ورودی مجموعه فلکسیبل لاماری اکو</t>
  </si>
  <si>
    <t xml:space="preserve">فیکسچر مونتاژ براکت ها به مجموعه کاتالیست لاماری اکو </t>
  </si>
  <si>
    <t xml:space="preserve">فیکسچر مونتاژ نهایی کاتالیست لاماری اکو </t>
  </si>
  <si>
    <t xml:space="preserve">فیکسچر حک شناسایی و ردیابی کاتالیست لاماری اکو </t>
  </si>
  <si>
    <t xml:space="preserve">فیکسچر دورجوش کاسه ای خروجی به فلنچ خروجی کاتالیست لاماری اکو </t>
  </si>
  <si>
    <t xml:space="preserve">فیکسچر دورجوش کاسه ای ورودی به فلنچ ورودی کاتالیست لاماری اکو </t>
  </si>
  <si>
    <t>Lamari</t>
  </si>
  <si>
    <t>نام پرژه</t>
  </si>
  <si>
    <t>قالب فرم براکت روی لوله مجموعه فلکسیبل لاماری اکو</t>
  </si>
  <si>
    <t>1404/05/13</t>
  </si>
  <si>
    <t>Forming Die قالب  لوله ورودی مجموعه لوله فلکسیبل جلویی  لاماری</t>
  </si>
  <si>
    <t>1404/05/30</t>
  </si>
  <si>
    <t>1404/06/16</t>
  </si>
  <si>
    <t>1404/06/31</t>
  </si>
  <si>
    <t>قالب فرمدهی براکت آویز مجموعه منبع انتهایی  لاماری</t>
  </si>
  <si>
    <t xml:space="preserve">قالب افزایش قطر شل کاتالیست لاماری اکو </t>
  </si>
  <si>
    <t xml:space="preserve">قالب جازنی مونولیت در شل کاتالیست لاماری اکو </t>
  </si>
  <si>
    <t>متعلقات Forming Die</t>
  </si>
  <si>
    <t>1404/07/24</t>
  </si>
  <si>
    <t>ساخت فیکسچر حک و شناسایی و ردیابی لوله فلکسیبل دار XB1</t>
  </si>
  <si>
    <t>1404/08/05</t>
  </si>
  <si>
    <t>1404/08/04</t>
  </si>
  <si>
    <t>ساخت فیکسچر حک و شناسایی و ردیابی مجموعه GPF و سایلنسر XB1</t>
  </si>
  <si>
    <t>1404/08/07</t>
  </si>
  <si>
    <t>ساخت فیکسچر حک و شناسایی و ردیابی کاتالیست XB1</t>
  </si>
  <si>
    <t>1404/07/21</t>
  </si>
  <si>
    <t>1404/08/06</t>
  </si>
  <si>
    <t>فیکسچر دورجوش فلنچ ورودی به لوله (دو منظوره ) مجموعه منبع میانی لاماری اکو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</si>
</sst>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60429]yyyy/mm/dd"/>
    <numFmt numFmtId="165" formatCode="dd/mm/yyyy\ hh:mm"/>
    <numFmt numFmtId="166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1"/>
      <color rgb="FF3F3F76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B Nazanin"/>
      <charset val="178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Arial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7"/>
      <color theme="1"/>
      <name val="Arial"/>
      <family val="2"/>
    </font>
    <font>
      <i/>
      <sz val="17"/>
      <color theme="1"/>
      <name val="Arial"/>
      <family val="2"/>
    </font>
    <font>
      <strike/>
      <sz val="12"/>
      <color rgb="FFFF0000"/>
      <name val="B Nazanin"/>
      <charset val="178"/>
    </font>
    <font>
      <strike/>
      <sz val="11"/>
      <color rgb="FFFF0000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trike/>
      <sz val="2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3FC9A"/>
        <bgColor indexed="64"/>
      </patternFill>
    </fill>
    <fill>
      <patternFill patternType="solid">
        <fgColor rgb="FF25FF8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DFFF"/>
        <bgColor indexed="64"/>
      </patternFill>
    </fill>
    <fill>
      <patternFill patternType="solid">
        <fgColor rgb="FFF55555"/>
        <bgColor indexed="64"/>
      </patternFill>
    </fill>
    <fill>
      <patternFill patternType="solid">
        <fgColor rgb="FFF8AEEA"/>
        <bgColor indexed="64"/>
      </patternFill>
    </fill>
    <fill>
      <patternFill patternType="solid">
        <fgColor rgb="FFFFCC99"/>
      </patternFill>
    </fill>
    <fill>
      <patternFill patternType="solid">
        <fgColor rgb="FF5DD5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8" borderId="6" applyNumberFormat="0" applyAlignment="0" applyProtection="0"/>
    <xf numFmtId="0" fontId="9" fillId="0" borderId="0"/>
  </cellStyleXfs>
  <cellXfs count="198">
    <xf numFmtId="0" fontId="0" fillId="0" borderId="0" xfId="0"/>
    <xf numFmtId="165" fontId="0" fillId="0" borderId="0" xfId="0" applyNumberFormat="1"/>
    <xf numFmtId="9" fontId="0" fillId="0" borderId="0" xfId="1" applyFont="1" applyAlignment="1">
      <alignment horizontal="center" vertical="center"/>
    </xf>
    <xf numFmtId="9" fontId="0" fillId="0" borderId="0" xfId="1" applyFont="1"/>
    <xf numFmtId="0" fontId="0" fillId="0" borderId="0" xfId="0" applyAlignment="1">
      <alignment horizontal="center" vertical="center"/>
    </xf>
    <xf numFmtId="0" fontId="7" fillId="0" borderId="0" xfId="0" applyFont="1" applyBorder="1" applyAlignment="1">
      <alignment horizontal="center" vertical="center" readingOrder="2"/>
    </xf>
    <xf numFmtId="0" fontId="8" fillId="0" borderId="0" xfId="0" applyFont="1" applyAlignment="1">
      <alignment vertical="center"/>
    </xf>
    <xf numFmtId="0" fontId="0" fillId="0" borderId="12" xfId="0" applyBorder="1"/>
    <xf numFmtId="0" fontId="0" fillId="0" borderId="0" xfId="0" applyBorder="1"/>
    <xf numFmtId="0" fontId="0" fillId="0" borderId="13" xfId="0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9" fontId="0" fillId="0" borderId="18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8" fillId="4" borderId="0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0" fillId="4" borderId="0" xfId="0" applyFill="1" applyBorder="1"/>
    <xf numFmtId="2" fontId="0" fillId="4" borderId="0" xfId="0" applyNumberFormat="1" applyFill="1" applyBorder="1"/>
    <xf numFmtId="1" fontId="0" fillId="4" borderId="0" xfId="0" applyNumberFormat="1" applyFill="1" applyBorder="1"/>
    <xf numFmtId="0" fontId="0" fillId="4" borderId="0" xfId="0" applyFill="1" applyBorder="1" applyAlignment="1">
      <alignment wrapText="1"/>
    </xf>
    <xf numFmtId="0" fontId="5" fillId="4" borderId="0" xfId="2" applyFill="1" applyBorder="1" applyAlignment="1">
      <alignment wrapText="1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5" fillId="0" borderId="0" xfId="0" applyFont="1" applyBorder="1" applyAlignment="1">
      <alignment horizontal="center" vertical="center" readingOrder="2"/>
    </xf>
    <xf numFmtId="0" fontId="16" fillId="0" borderId="0" xfId="0" applyFont="1"/>
    <xf numFmtId="0" fontId="16" fillId="0" borderId="0" xfId="0" applyFont="1" applyBorder="1"/>
    <xf numFmtId="0" fontId="16" fillId="0" borderId="0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0" xfId="0" applyFont="1" applyBorder="1" applyAlignment="1">
      <alignment vertical="center" wrapText="1"/>
    </xf>
    <xf numFmtId="0" fontId="4" fillId="6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4" fontId="8" fillId="4" borderId="0" xfId="0" applyNumberFormat="1" applyFont="1" applyFill="1" applyBorder="1" applyAlignment="1">
      <alignment horizontal="left" vertical="center" wrapText="1"/>
    </xf>
    <xf numFmtId="14" fontId="0" fillId="4" borderId="0" xfId="0" applyNumberFormat="1" applyFill="1" applyBorder="1"/>
    <xf numFmtId="2" fontId="0" fillId="4" borderId="0" xfId="0" applyNumberFormat="1" applyFill="1" applyBorder="1" applyAlignment="1">
      <alignment wrapText="1"/>
    </xf>
    <xf numFmtId="0" fontId="4" fillId="7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9" fontId="19" fillId="0" borderId="10" xfId="1" applyNumberFormat="1" applyFont="1" applyBorder="1" applyAlignment="1">
      <alignment horizontal="center" vertical="center" wrapText="1"/>
    </xf>
    <xf numFmtId="166" fontId="19" fillId="0" borderId="10" xfId="1" applyNumberFormat="1" applyFont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vertical="center" wrapText="1"/>
    </xf>
    <xf numFmtId="0" fontId="19" fillId="2" borderId="10" xfId="0" applyFont="1" applyFill="1" applyBorder="1" applyAlignment="1">
      <alignment horizontal="center" vertical="center" wrapText="1"/>
    </xf>
    <xf numFmtId="1" fontId="19" fillId="2" borderId="10" xfId="0" applyNumberFormat="1" applyFont="1" applyFill="1" applyBorder="1" applyAlignment="1">
      <alignment horizontal="center" vertical="center" textRotation="90" wrapText="1"/>
    </xf>
    <xf numFmtId="0" fontId="19" fillId="2" borderId="10" xfId="0" applyFont="1" applyFill="1" applyBorder="1" applyAlignment="1">
      <alignment horizontal="center" textRotation="90"/>
    </xf>
    <xf numFmtId="9" fontId="19" fillId="2" borderId="10" xfId="1" applyFont="1" applyFill="1" applyBorder="1" applyAlignment="1">
      <alignment horizontal="center" vertical="center" wrapText="1"/>
    </xf>
    <xf numFmtId="10" fontId="19" fillId="4" borderId="10" xfId="0" applyNumberFormat="1" applyFont="1" applyFill="1" applyBorder="1" applyAlignment="1">
      <alignment horizontal="center" vertical="center" wrapText="1"/>
    </xf>
    <xf numFmtId="10" fontId="19" fillId="4" borderId="10" xfId="1" applyNumberFormat="1" applyFont="1" applyFill="1" applyBorder="1" applyAlignment="1">
      <alignment horizontal="center" vertical="center" wrapText="1"/>
    </xf>
    <xf numFmtId="10" fontId="22" fillId="4" borderId="10" xfId="0" applyNumberFormat="1" applyFont="1" applyFill="1" applyBorder="1" applyAlignment="1">
      <alignment horizontal="center" vertical="center" wrapText="1"/>
    </xf>
    <xf numFmtId="10" fontId="22" fillId="4" borderId="10" xfId="1" applyNumberFormat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vertical="center" wrapText="1"/>
    </xf>
    <xf numFmtId="0" fontId="19" fillId="2" borderId="23" xfId="0" applyFont="1" applyFill="1" applyBorder="1" applyAlignment="1">
      <alignment vertical="center" wrapText="1"/>
    </xf>
    <xf numFmtId="0" fontId="19" fillId="2" borderId="24" xfId="0" applyFont="1" applyFill="1" applyBorder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9" fontId="19" fillId="2" borderId="10" xfId="1" applyFont="1" applyFill="1" applyBorder="1" applyAlignment="1">
      <alignment horizontal="center" vertical="center" wrapText="1"/>
    </xf>
    <xf numFmtId="9" fontId="19" fillId="2" borderId="10" xfId="1" applyFont="1" applyFill="1" applyBorder="1" applyAlignment="1">
      <alignment horizontal="center" vertical="center" wrapText="1"/>
    </xf>
    <xf numFmtId="9" fontId="19" fillId="2" borderId="10" xfId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 textRotation="90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9" fontId="19" fillId="2" borderId="10" xfId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9" fontId="19" fillId="0" borderId="10" xfId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9" fontId="13" fillId="0" borderId="10" xfId="0" applyNumberFormat="1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 textRotation="90"/>
    </xf>
    <xf numFmtId="0" fontId="19" fillId="2" borderId="10" xfId="0" applyFont="1" applyFill="1" applyBorder="1" applyAlignment="1">
      <alignment horizontal="center" vertical="center" textRotation="90" wrapText="1"/>
    </xf>
    <xf numFmtId="0" fontId="19" fillId="2" borderId="10" xfId="0" applyFont="1" applyFill="1" applyBorder="1" applyAlignment="1">
      <alignment horizontal="center" vertical="center"/>
    </xf>
    <xf numFmtId="1" fontId="19" fillId="2" borderId="10" xfId="0" applyNumberFormat="1" applyFont="1" applyFill="1" applyBorder="1" applyAlignment="1">
      <alignment horizontal="center" vertical="center" textRotation="90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9" fontId="12" fillId="2" borderId="9" xfId="1" applyFont="1" applyFill="1" applyBorder="1" applyAlignment="1">
      <alignment horizontal="center" vertical="center" wrapText="1"/>
    </xf>
    <xf numFmtId="9" fontId="12" fillId="2" borderId="25" xfId="1" applyFont="1" applyFill="1" applyBorder="1" applyAlignment="1">
      <alignment horizontal="center" vertical="center" wrapText="1"/>
    </xf>
    <xf numFmtId="9" fontId="12" fillId="2" borderId="1" xfId="1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textRotation="90"/>
    </xf>
    <xf numFmtId="0" fontId="19" fillId="2" borderId="22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/>
    </xf>
    <xf numFmtId="0" fontId="17" fillId="9" borderId="28" xfId="0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0" fontId="17" fillId="9" borderId="29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center" vertical="center"/>
    </xf>
    <xf numFmtId="0" fontId="17" fillId="9" borderId="30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/>
    </xf>
    <xf numFmtId="0" fontId="17" fillId="9" borderId="33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9" fontId="19" fillId="2" borderId="10" xfId="1" applyFont="1" applyFill="1" applyBorder="1" applyAlignment="1">
      <alignment horizontal="center" vertical="center" wrapText="1"/>
    </xf>
    <xf numFmtId="10" fontId="22" fillId="4" borderId="9" xfId="0" applyNumberFormat="1" applyFont="1" applyFill="1" applyBorder="1" applyAlignment="1">
      <alignment horizontal="center" vertical="center" wrapText="1"/>
    </xf>
    <xf numFmtId="10" fontId="22" fillId="4" borderId="1" xfId="0" applyNumberFormat="1" applyFont="1" applyFill="1" applyBorder="1" applyAlignment="1">
      <alignment horizontal="center" vertical="center" wrapText="1"/>
    </xf>
    <xf numFmtId="10" fontId="22" fillId="4" borderId="9" xfId="1" applyNumberFormat="1" applyFont="1" applyFill="1" applyBorder="1" applyAlignment="1">
      <alignment horizontal="center" vertical="center" wrapText="1"/>
    </xf>
    <xf numFmtId="10" fontId="22" fillId="4" borderId="1" xfId="1" applyNumberFormat="1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 textRotation="90"/>
    </xf>
    <xf numFmtId="0" fontId="19" fillId="2" borderId="25" xfId="0" applyFont="1" applyFill="1" applyBorder="1" applyAlignment="1">
      <alignment horizontal="center" vertical="center" textRotation="90"/>
    </xf>
    <xf numFmtId="0" fontId="19" fillId="2" borderId="1" xfId="0" applyFont="1" applyFill="1" applyBorder="1" applyAlignment="1">
      <alignment horizontal="center" vertical="center" textRotation="90"/>
    </xf>
  </cellXfs>
  <cellStyles count="4">
    <cellStyle name="Input" xfId="2" builtinId="20"/>
    <cellStyle name="Normal" xfId="0" builtinId="0"/>
    <cellStyle name="Normal 2" xfId="3"/>
    <cellStyle name="Percent" xfId="1" builtinId="5"/>
  </cellStyles>
  <dxfs count="142"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CFF"/>
        </patternFill>
      </fill>
    </dxf>
    <dxf>
      <fill>
        <patternFill>
          <bgColor rgb="FFFF99FF"/>
        </patternFill>
      </fill>
    </dxf>
  </dxfs>
  <tableStyles count="1" defaultTableStyle="TableStyleMedium2" defaultPivotStyle="PivotStyleLight16">
    <tableStyle name="Table Style 1" pivot="0" count="2">
      <tableStyleElement type="headerRow" dxfId="141"/>
      <tableStyleElement type="secondRowStripe" dxfId="140"/>
    </tableStyle>
  </tableStyles>
  <colors>
    <mruColors>
      <color rgb="FFFFCCFF"/>
      <color rgb="FFFF99FF"/>
      <color rgb="FF5DD5FF"/>
      <color rgb="FF25FF88"/>
      <color rgb="FF5BFFA5"/>
      <color rgb="FFF8AEEA"/>
      <color rgb="FFF3FC9A"/>
      <color rgb="FFF45D34"/>
      <color rgb="FFF4689D"/>
      <color rgb="FFF555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190502</xdr:colOff>
      <xdr:row>1</xdr:row>
      <xdr:rowOff>108200</xdr:rowOff>
    </xdr:from>
    <xdr:to>
      <xdr:col>28</xdr:col>
      <xdr:colOff>495735</xdr:colOff>
      <xdr:row>1</xdr:row>
      <xdr:rowOff>1108364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60547" y="316018"/>
          <a:ext cx="1905000" cy="10001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1955" y="350654"/>
          <a:ext cx="2026227" cy="910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ezazadeh\AppData\Roaming\Microsoft\AddIns\FarsiTools%20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FarsiTools "/>
    </sheetNames>
    <definedNames>
      <definedName name="s2m"/>
    </defined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id="1" name="Table1" displayName="Table1" ref="E1:V16" totalsRowShown="0" headerRowDxfId="139" dataDxfId="137" headerRowBorderDxfId="138" tableBorderDxfId="136" totalsRowBorderDxfId="135">
  <autoFilter ref="E1:V16"/>
  <tableColumns count="18">
    <tableColumn id="1" name="روش ساخت " dataDxfId="134"/>
    <tableColumn id="2" name="شروع برنامه ریزی" dataDxfId="133"/>
    <tableColumn id="3" name="پایان برنامه ریزی" dataDxfId="132"/>
    <tableColumn id="4" name="شروع برنامه ریزی(میلادی)" dataDxfId="131"/>
    <tableColumn id="5" name="پایان برنامه ریزی(میلادی)" dataDxfId="130"/>
    <tableColumn id="6" name="شروع واقعی" dataDxfId="129"/>
    <tableColumn id="7" name="پایان واقعی" dataDxfId="128"/>
    <tableColumn id="8" name="شروع واقعی(میلادی)" dataDxfId="127"/>
    <tableColumn id="9" name="پایان واقعی(میلادی)" dataDxfId="126"/>
    <tableColumn id="10" name="طراحی " dataDxfId="125"/>
    <tableColumn id="11" name="تحلیل /تائید طرح" dataDxfId="124"/>
    <tableColumn id="12" name="خرید مواد اولیه  " dataDxfId="123"/>
    <tableColumn id="13" name="تراشکاری منوال" dataDxfId="122"/>
    <tableColumn id="14" name="فرز CNC" dataDxfId="121"/>
    <tableColumn id="15" name="سختکاری " dataDxfId="120"/>
    <tableColumn id="16" name="مونتاژ نهایی" dataDxfId="119"/>
    <tableColumn id="17" name="پیشرفت ساخت " dataDxfId="118"/>
    <tableColumn id="18" name="پیشرفت کل" dataDxfId="1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3" name="Table13" displayName="Table13" ref="A1:D16" totalsRowShown="0" headerRowDxfId="116" headerRowBorderDxfId="115" tableBorderDxfId="114" totalsRowBorderDxfId="113">
  <autoFilter ref="A1:D16"/>
  <tableColumns count="4">
    <tableColumn id="1" name="نام پرژه" dataDxfId="112"/>
    <tableColumn id="2" name="کد " dataDxfId="111"/>
    <tableColumn id="3" name="وضعیت " dataDxfId="110"/>
    <tableColumn id="4" name="عنوان در خواست " dataDxfId="10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1" name="Table11" displayName="Table11" ref="A1:W95" totalsRowShown="0" headerRowDxfId="108" dataDxfId="106" headerRowBorderDxfId="107" tableBorderDxfId="105" totalsRowBorderDxfId="104">
  <autoFilter ref="A1:W95"/>
  <tableColumns count="23">
    <tableColumn id="1" name="نام پروژه" dataDxfId="103"/>
    <tableColumn id="2" name="کد ساخت" dataDxfId="102"/>
    <tableColumn id="3" name="وضعیت " dataDxfId="101"/>
    <tableColumn id="4" name="عنوان درخواست " dataDxfId="100"/>
    <tableColumn id="5" name="روش ساخت " dataDxfId="99"/>
    <tableColumn id="6" name="شروع برنامه ریزی" dataDxfId="98"/>
    <tableColumn id="7" name="پایان برنامه ریزی" dataDxfId="97"/>
    <tableColumn id="8" name="شروع برنامه ریزی(میلادی)" dataDxfId="96"/>
    <tableColumn id="9" name="پایان برنامه ریزی(میلادی)" dataDxfId="95"/>
    <tableColumn id="10" name="شروع واقعی" dataDxfId="94"/>
    <tableColumn id="11" name="پایان واقعی" dataDxfId="93"/>
    <tableColumn id="12" name="شروع واقعی(میلادی)" dataDxfId="92"/>
    <tableColumn id="13" name="پایان واقعی(میلادی)" dataDxfId="91"/>
    <tableColumn id="14" name="طراحی " dataDxfId="90" dataCellStyle="Percent"/>
    <tableColumn id="15" name="خرید مواد اولیه  " dataDxfId="89" dataCellStyle="Percent"/>
    <tableColumn id="16" name="برشکاری" dataDxfId="88" dataCellStyle="Percent"/>
    <tableColumn id="17" name="تراشکاری منوال" dataDxfId="87" dataCellStyle="Percent"/>
    <tableColumn id="18" name="تراشکاری CNC" dataDxfId="86" dataCellStyle="Percent"/>
    <tableColumn id="19" name="فرز منوال" dataDxfId="85" dataCellStyle="Percent"/>
    <tableColumn id="20" name="فزرکاری CNC" dataDxfId="84" dataCellStyle="Percent"/>
    <tableColumn id="21" name="مونتاژ نهایی" dataDxfId="83" dataCellStyle="Percent"/>
    <tableColumn id="22" name="پیشرفت ساخت " dataDxfId="82" dataCellStyle="Percent"/>
    <tableColumn id="23" name="پیشرفت کل" dataDxfId="8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53"/>
  <sheetViews>
    <sheetView workbookViewId="0">
      <selection activeCell="B14" sqref="B14"/>
    </sheetView>
  </sheetViews>
  <sheetFormatPr defaultRowHeight="14.4" x14ac:dyDescent="0.3"/>
  <cols>
    <col min="2" max="2" width="63" bestFit="1" customWidth="1"/>
    <col min="3" max="4" width="15.88671875" bestFit="1" customWidth="1"/>
  </cols>
  <sheetData>
    <row r="1" spans="1:7" x14ac:dyDescent="0.3">
      <c r="A1" t="s">
        <v>19</v>
      </c>
      <c r="B1" t="s">
        <v>20</v>
      </c>
      <c r="C1" s="1">
        <v>45277.645833333299</v>
      </c>
      <c r="D1" s="1">
        <v>45307.645833333299</v>
      </c>
      <c r="E1" t="s">
        <v>21</v>
      </c>
      <c r="F1" t="s">
        <v>22</v>
      </c>
      <c r="G1" t="s">
        <v>22</v>
      </c>
    </row>
    <row r="2" spans="1:7" x14ac:dyDescent="0.3">
      <c r="A2" t="s">
        <v>24</v>
      </c>
      <c r="B2" t="s">
        <v>25</v>
      </c>
      <c r="C2" s="1">
        <v>45280.645833333299</v>
      </c>
      <c r="D2" s="1">
        <v>45312.645833333299</v>
      </c>
      <c r="E2" t="s">
        <v>21</v>
      </c>
      <c r="F2" t="s">
        <v>22</v>
      </c>
      <c r="G2" t="s">
        <v>22</v>
      </c>
    </row>
    <row r="3" spans="1:7" x14ac:dyDescent="0.3">
      <c r="A3" t="s">
        <v>26</v>
      </c>
      <c r="B3" t="s">
        <v>27</v>
      </c>
      <c r="C3" s="1">
        <v>45286.645833333299</v>
      </c>
      <c r="D3" s="1">
        <v>45315.645833333299</v>
      </c>
      <c r="E3" t="s">
        <v>28</v>
      </c>
      <c r="F3" t="s">
        <v>22</v>
      </c>
      <c r="G3" t="s">
        <v>22</v>
      </c>
    </row>
    <row r="4" spans="1:7" x14ac:dyDescent="0.3">
      <c r="A4" t="s">
        <v>29</v>
      </c>
      <c r="B4" t="s">
        <v>30</v>
      </c>
      <c r="C4" s="1">
        <v>45292.645833333299</v>
      </c>
      <c r="D4" s="1">
        <v>45320.645833333299</v>
      </c>
      <c r="E4" t="s">
        <v>31</v>
      </c>
      <c r="F4" t="s">
        <v>22</v>
      </c>
      <c r="G4" t="s">
        <v>22</v>
      </c>
    </row>
    <row r="5" spans="1:7" x14ac:dyDescent="0.3">
      <c r="A5" t="s">
        <v>32</v>
      </c>
      <c r="B5" t="s">
        <v>33</v>
      </c>
      <c r="C5" s="1">
        <v>45308.645833333299</v>
      </c>
      <c r="D5" s="1">
        <v>45335.645833333299</v>
      </c>
      <c r="E5" t="s">
        <v>34</v>
      </c>
      <c r="F5" t="s">
        <v>22</v>
      </c>
      <c r="G5" t="s">
        <v>22</v>
      </c>
    </row>
    <row r="6" spans="1:7" x14ac:dyDescent="0.3">
      <c r="A6" t="s">
        <v>35</v>
      </c>
      <c r="B6" t="s">
        <v>36</v>
      </c>
      <c r="C6" s="1">
        <v>45326.645833333299</v>
      </c>
      <c r="D6" s="1">
        <v>45356.645833333299</v>
      </c>
      <c r="E6" t="s">
        <v>21</v>
      </c>
      <c r="F6" t="s">
        <v>22</v>
      </c>
      <c r="G6" t="s">
        <v>22</v>
      </c>
    </row>
    <row r="7" spans="1:7" x14ac:dyDescent="0.3">
      <c r="A7" t="s">
        <v>37</v>
      </c>
      <c r="B7" t="s">
        <v>38</v>
      </c>
      <c r="C7" s="1">
        <v>45329.645833333299</v>
      </c>
      <c r="D7" s="1">
        <v>45360.645833333299</v>
      </c>
      <c r="E7" t="s">
        <v>28</v>
      </c>
      <c r="F7" t="s">
        <v>22</v>
      </c>
      <c r="G7" t="s">
        <v>22</v>
      </c>
    </row>
    <row r="8" spans="1:7" x14ac:dyDescent="0.3">
      <c r="A8" t="s">
        <v>39</v>
      </c>
      <c r="B8" t="s">
        <v>40</v>
      </c>
      <c r="C8" s="1">
        <v>45356.645833333299</v>
      </c>
      <c r="D8" s="1">
        <v>45416.645833333299</v>
      </c>
      <c r="E8" t="s">
        <v>41</v>
      </c>
      <c r="F8" t="s">
        <v>22</v>
      </c>
      <c r="G8" t="s">
        <v>22</v>
      </c>
    </row>
    <row r="9" spans="1:7" x14ac:dyDescent="0.3">
      <c r="A9" t="s">
        <v>42</v>
      </c>
      <c r="B9" t="s">
        <v>43</v>
      </c>
      <c r="C9" s="1">
        <v>45361.645833333299</v>
      </c>
      <c r="D9" s="1">
        <v>45423.645833333299</v>
      </c>
      <c r="E9" t="s">
        <v>44</v>
      </c>
      <c r="F9" t="s">
        <v>22</v>
      </c>
      <c r="G9" t="s">
        <v>22</v>
      </c>
    </row>
    <row r="10" spans="1:7" x14ac:dyDescent="0.3">
      <c r="A10" t="s">
        <v>45</v>
      </c>
      <c r="B10" t="s">
        <v>46</v>
      </c>
      <c r="C10" s="1">
        <v>45364.645833333299</v>
      </c>
      <c r="D10" s="1">
        <v>45426.645833333299</v>
      </c>
      <c r="E10" t="s">
        <v>44</v>
      </c>
      <c r="F10" t="s">
        <v>22</v>
      </c>
      <c r="G10" t="s">
        <v>22</v>
      </c>
    </row>
    <row r="11" spans="1:7" x14ac:dyDescent="0.3">
      <c r="A11" t="s">
        <v>47</v>
      </c>
      <c r="B11" t="s">
        <v>48</v>
      </c>
      <c r="C11" s="1">
        <v>45364.645833333299</v>
      </c>
      <c r="D11" s="1">
        <v>45426.645833333299</v>
      </c>
      <c r="E11" t="s">
        <v>44</v>
      </c>
      <c r="F11" t="s">
        <v>22</v>
      </c>
      <c r="G11" t="s">
        <v>22</v>
      </c>
    </row>
    <row r="12" spans="1:7" x14ac:dyDescent="0.3">
      <c r="A12" t="s">
        <v>49</v>
      </c>
      <c r="B12" t="s">
        <v>50</v>
      </c>
      <c r="C12" s="1">
        <v>45364.645833333299</v>
      </c>
      <c r="D12" s="1">
        <v>45426.645833333299</v>
      </c>
      <c r="E12" t="s">
        <v>44</v>
      </c>
      <c r="F12" t="s">
        <v>22</v>
      </c>
      <c r="G12" t="s">
        <v>22</v>
      </c>
    </row>
    <row r="13" spans="1:7" x14ac:dyDescent="0.3">
      <c r="A13" t="s">
        <v>51</v>
      </c>
      <c r="B13" t="s">
        <v>52</v>
      </c>
      <c r="C13" t="s">
        <v>23</v>
      </c>
      <c r="D13" s="1">
        <v>45426.645833333299</v>
      </c>
      <c r="E13" t="s">
        <v>22</v>
      </c>
      <c r="F13" t="s">
        <v>22</v>
      </c>
      <c r="G13" t="s">
        <v>22</v>
      </c>
    </row>
    <row r="14" spans="1:7" x14ac:dyDescent="0.3">
      <c r="A14" t="s">
        <v>0</v>
      </c>
      <c r="B14" t="s">
        <v>53</v>
      </c>
      <c r="C14" s="1">
        <v>45255.645833333299</v>
      </c>
      <c r="D14" s="1">
        <v>45290.645833333299</v>
      </c>
      <c r="E14" t="s">
        <v>54</v>
      </c>
      <c r="F14" t="s">
        <v>55</v>
      </c>
      <c r="G14" t="s">
        <v>22</v>
      </c>
    </row>
    <row r="15" spans="1:7" x14ac:dyDescent="0.3">
      <c r="A15" t="s">
        <v>1</v>
      </c>
      <c r="B15" t="s">
        <v>56</v>
      </c>
      <c r="C15" s="1">
        <v>45259.645833333299</v>
      </c>
      <c r="D15" s="1">
        <v>45305.645833333299</v>
      </c>
      <c r="E15" t="s">
        <v>57</v>
      </c>
      <c r="F15" t="s">
        <v>58</v>
      </c>
      <c r="G15" t="s">
        <v>22</v>
      </c>
    </row>
    <row r="16" spans="1:7" x14ac:dyDescent="0.3">
      <c r="A16" t="s">
        <v>2</v>
      </c>
      <c r="B16" t="s">
        <v>59</v>
      </c>
      <c r="C16" s="1">
        <v>45259.645833333299</v>
      </c>
      <c r="D16" s="1">
        <v>45300.645833333299</v>
      </c>
      <c r="E16" t="s">
        <v>41</v>
      </c>
      <c r="F16" t="s">
        <v>60</v>
      </c>
      <c r="G16" t="s">
        <v>22</v>
      </c>
    </row>
    <row r="17" spans="1:7" x14ac:dyDescent="0.3">
      <c r="A17" t="s">
        <v>3</v>
      </c>
      <c r="B17" t="s">
        <v>61</v>
      </c>
      <c r="C17" s="1">
        <v>45270.645833333299</v>
      </c>
      <c r="D17" s="1">
        <v>45305.645833333299</v>
      </c>
      <c r="E17" t="s">
        <v>54</v>
      </c>
      <c r="F17" t="s">
        <v>62</v>
      </c>
      <c r="G17" t="s">
        <v>22</v>
      </c>
    </row>
    <row r="18" spans="1:7" x14ac:dyDescent="0.3">
      <c r="A18" t="s">
        <v>4</v>
      </c>
      <c r="B18" t="s">
        <v>63</v>
      </c>
      <c r="C18" s="1">
        <v>45271.645833333299</v>
      </c>
      <c r="D18" s="1">
        <v>45329.645833333299</v>
      </c>
      <c r="E18" t="s">
        <v>64</v>
      </c>
      <c r="F18" t="s">
        <v>65</v>
      </c>
      <c r="G18" t="s">
        <v>22</v>
      </c>
    </row>
    <row r="19" spans="1:7" x14ac:dyDescent="0.3">
      <c r="A19" t="s">
        <v>5</v>
      </c>
      <c r="B19" t="s">
        <v>66</v>
      </c>
      <c r="C19" s="1">
        <v>45280.645833333299</v>
      </c>
      <c r="D19" s="1">
        <v>45335.645833333299</v>
      </c>
      <c r="E19" t="s">
        <v>67</v>
      </c>
      <c r="F19" t="s">
        <v>22</v>
      </c>
      <c r="G19" t="s">
        <v>22</v>
      </c>
    </row>
    <row r="20" spans="1:7" x14ac:dyDescent="0.3">
      <c r="A20" t="s">
        <v>6</v>
      </c>
      <c r="B20" t="s">
        <v>68</v>
      </c>
      <c r="C20" s="1">
        <v>45280.645833333299</v>
      </c>
      <c r="D20" s="1">
        <v>45335.645833333299</v>
      </c>
      <c r="E20" t="s">
        <v>67</v>
      </c>
      <c r="F20" t="s">
        <v>22</v>
      </c>
      <c r="G20" t="s">
        <v>22</v>
      </c>
    </row>
    <row r="21" spans="1:7" x14ac:dyDescent="0.3">
      <c r="A21" t="s">
        <v>7</v>
      </c>
      <c r="B21" t="s">
        <v>69</v>
      </c>
      <c r="C21" s="1">
        <v>45280.645833333299</v>
      </c>
      <c r="D21" s="1">
        <v>45335.645833333299</v>
      </c>
      <c r="E21" t="s">
        <v>67</v>
      </c>
      <c r="F21" t="s">
        <v>22</v>
      </c>
      <c r="G21" t="s">
        <v>22</v>
      </c>
    </row>
    <row r="22" spans="1:7" x14ac:dyDescent="0.3">
      <c r="A22" t="s">
        <v>8</v>
      </c>
      <c r="B22" t="s">
        <v>70</v>
      </c>
      <c r="C22" s="1">
        <v>45280.645833333299</v>
      </c>
      <c r="D22" s="1">
        <v>45335.645833333299</v>
      </c>
      <c r="E22" t="s">
        <v>67</v>
      </c>
      <c r="F22" t="s">
        <v>22</v>
      </c>
      <c r="G22" t="s">
        <v>22</v>
      </c>
    </row>
    <row r="23" spans="1:7" x14ac:dyDescent="0.3">
      <c r="A23" t="s">
        <v>9</v>
      </c>
      <c r="B23" t="s">
        <v>71</v>
      </c>
      <c r="C23" s="1">
        <v>45284.645833333299</v>
      </c>
      <c r="D23" s="1">
        <v>45314.645833333299</v>
      </c>
      <c r="E23" t="s">
        <v>21</v>
      </c>
      <c r="F23" t="s">
        <v>22</v>
      </c>
      <c r="G23" t="s">
        <v>22</v>
      </c>
    </row>
    <row r="24" spans="1:7" x14ac:dyDescent="0.3">
      <c r="A24" t="s">
        <v>10</v>
      </c>
      <c r="B24" t="s">
        <v>72</v>
      </c>
      <c r="C24" s="1">
        <v>45284.645833333299</v>
      </c>
      <c r="D24" s="1">
        <v>45314.645833333299</v>
      </c>
      <c r="E24" t="s">
        <v>21</v>
      </c>
      <c r="F24" t="s">
        <v>22</v>
      </c>
      <c r="G24" t="s">
        <v>22</v>
      </c>
    </row>
    <row r="25" spans="1:7" x14ac:dyDescent="0.3">
      <c r="A25" t="s">
        <v>11</v>
      </c>
      <c r="B25" t="s">
        <v>73</v>
      </c>
      <c r="C25" s="1">
        <v>45279.645833333299</v>
      </c>
      <c r="D25" s="1">
        <v>45294.645833333299</v>
      </c>
      <c r="E25" t="s">
        <v>74</v>
      </c>
      <c r="F25" t="s">
        <v>22</v>
      </c>
      <c r="G25" t="s">
        <v>22</v>
      </c>
    </row>
    <row r="26" spans="1:7" x14ac:dyDescent="0.3">
      <c r="A26" t="s">
        <v>12</v>
      </c>
      <c r="B26" t="s">
        <v>75</v>
      </c>
      <c r="C26" s="1">
        <v>45294.645833333299</v>
      </c>
      <c r="D26" s="1">
        <v>45335.645833333299</v>
      </c>
      <c r="E26" t="s">
        <v>41</v>
      </c>
      <c r="F26" t="s">
        <v>22</v>
      </c>
      <c r="G26" t="s">
        <v>22</v>
      </c>
    </row>
    <row r="27" spans="1:7" x14ac:dyDescent="0.3">
      <c r="A27" t="s">
        <v>13</v>
      </c>
      <c r="B27" t="s">
        <v>76</v>
      </c>
      <c r="C27" s="1">
        <v>45300.645833333299</v>
      </c>
      <c r="D27" s="1">
        <v>45340.645833333299</v>
      </c>
      <c r="E27" t="s">
        <v>77</v>
      </c>
      <c r="F27" t="s">
        <v>22</v>
      </c>
      <c r="G27" t="s">
        <v>22</v>
      </c>
    </row>
    <row r="28" spans="1:7" x14ac:dyDescent="0.3">
      <c r="A28" t="s">
        <v>14</v>
      </c>
      <c r="B28" t="s">
        <v>78</v>
      </c>
      <c r="C28" s="1">
        <v>45300.645833333299</v>
      </c>
      <c r="D28" s="1">
        <v>45340.645833333299</v>
      </c>
      <c r="E28" t="s">
        <v>77</v>
      </c>
      <c r="F28" t="s">
        <v>22</v>
      </c>
      <c r="G28" t="s">
        <v>22</v>
      </c>
    </row>
    <row r="29" spans="1:7" x14ac:dyDescent="0.3">
      <c r="A29" t="s">
        <v>15</v>
      </c>
      <c r="B29" t="s">
        <v>79</v>
      </c>
      <c r="C29" s="1">
        <v>45300.645833333299</v>
      </c>
      <c r="D29" s="1">
        <v>45308.645833333299</v>
      </c>
      <c r="E29" t="s">
        <v>80</v>
      </c>
      <c r="F29" t="s">
        <v>22</v>
      </c>
      <c r="G29" t="s">
        <v>22</v>
      </c>
    </row>
    <row r="30" spans="1:7" x14ac:dyDescent="0.3">
      <c r="A30" t="s">
        <v>16</v>
      </c>
      <c r="B30" t="s">
        <v>81</v>
      </c>
      <c r="C30" s="1">
        <v>45280.645833333299</v>
      </c>
      <c r="D30" s="1">
        <v>45467.645138888904</v>
      </c>
      <c r="E30" t="s">
        <v>82</v>
      </c>
      <c r="F30" t="s">
        <v>22</v>
      </c>
      <c r="G30" t="s">
        <v>22</v>
      </c>
    </row>
    <row r="31" spans="1:7" x14ac:dyDescent="0.3">
      <c r="A31" t="s">
        <v>17</v>
      </c>
      <c r="B31" t="s">
        <v>83</v>
      </c>
      <c r="C31" s="1">
        <v>45280.645833333299</v>
      </c>
      <c r="D31" s="1">
        <v>45467.645138888904</v>
      </c>
      <c r="E31" t="s">
        <v>82</v>
      </c>
      <c r="F31" t="s">
        <v>22</v>
      </c>
      <c r="G31" t="s">
        <v>22</v>
      </c>
    </row>
    <row r="32" spans="1:7" x14ac:dyDescent="0.3">
      <c r="A32" t="s">
        <v>18</v>
      </c>
      <c r="B32" t="s">
        <v>84</v>
      </c>
      <c r="C32" s="1">
        <v>45280.645833333299</v>
      </c>
      <c r="D32" s="1">
        <v>45467.645138888904</v>
      </c>
      <c r="E32" t="s">
        <v>82</v>
      </c>
      <c r="F32" t="s">
        <v>22</v>
      </c>
      <c r="G32" t="s">
        <v>22</v>
      </c>
    </row>
    <row r="33" spans="1:7" x14ac:dyDescent="0.3">
      <c r="A33" t="s">
        <v>85</v>
      </c>
      <c r="B33" t="s">
        <v>86</v>
      </c>
      <c r="C33" t="s">
        <v>23</v>
      </c>
      <c r="D33" s="1">
        <v>45467.645138888904</v>
      </c>
      <c r="E33" t="s">
        <v>22</v>
      </c>
      <c r="F33" t="s">
        <v>22</v>
      </c>
      <c r="G33" t="s">
        <v>22</v>
      </c>
    </row>
    <row r="34" spans="1:7" x14ac:dyDescent="0.3">
      <c r="A34" t="s">
        <v>87</v>
      </c>
      <c r="B34" t="s">
        <v>88</v>
      </c>
      <c r="C34" s="1">
        <v>45231.270833333299</v>
      </c>
      <c r="D34" s="1">
        <v>45276.666666666701</v>
      </c>
      <c r="E34" t="s">
        <v>57</v>
      </c>
      <c r="F34" t="s">
        <v>89</v>
      </c>
      <c r="G34" t="s">
        <v>90</v>
      </c>
    </row>
    <row r="35" spans="1:7" x14ac:dyDescent="0.3">
      <c r="A35" t="s">
        <v>91</v>
      </c>
      <c r="B35" t="s">
        <v>92</v>
      </c>
      <c r="C35" s="1">
        <v>45235.645833333299</v>
      </c>
      <c r="D35" s="1">
        <v>45300.645833333299</v>
      </c>
      <c r="E35" t="s">
        <v>93</v>
      </c>
      <c r="F35" t="s">
        <v>94</v>
      </c>
      <c r="G35" t="s">
        <v>22</v>
      </c>
    </row>
    <row r="36" spans="1:7" x14ac:dyDescent="0.3">
      <c r="A36" t="s">
        <v>95</v>
      </c>
      <c r="B36" t="s">
        <v>96</v>
      </c>
      <c r="C36" s="1">
        <v>45235.645833333299</v>
      </c>
      <c r="D36" s="1">
        <v>45290.645833333299</v>
      </c>
      <c r="E36" t="s">
        <v>67</v>
      </c>
      <c r="F36" t="s">
        <v>97</v>
      </c>
      <c r="G36" t="s">
        <v>22</v>
      </c>
    </row>
    <row r="37" spans="1:7" x14ac:dyDescent="0.3">
      <c r="A37" t="s">
        <v>98</v>
      </c>
      <c r="B37" t="s">
        <v>99</v>
      </c>
      <c r="C37" s="1">
        <v>45237.645833333299</v>
      </c>
      <c r="D37" s="1">
        <v>45354.645833333299</v>
      </c>
      <c r="E37" t="s">
        <v>100</v>
      </c>
      <c r="F37" t="s">
        <v>101</v>
      </c>
      <c r="G37" t="s">
        <v>22</v>
      </c>
    </row>
    <row r="38" spans="1:7" x14ac:dyDescent="0.3">
      <c r="A38" t="s">
        <v>102</v>
      </c>
      <c r="B38" t="s">
        <v>103</v>
      </c>
      <c r="C38" s="1">
        <v>45238.645833333299</v>
      </c>
      <c r="D38" s="1">
        <v>45305.645833333299</v>
      </c>
      <c r="E38" t="s">
        <v>93</v>
      </c>
      <c r="F38" t="s">
        <v>104</v>
      </c>
      <c r="G38" t="s">
        <v>22</v>
      </c>
    </row>
    <row r="39" spans="1:7" x14ac:dyDescent="0.3">
      <c r="A39" t="s">
        <v>105</v>
      </c>
      <c r="B39" t="s">
        <v>106</v>
      </c>
      <c r="C39" s="1">
        <v>45238.645833333299</v>
      </c>
      <c r="D39" s="1">
        <v>45314.645833333299</v>
      </c>
      <c r="E39" t="s">
        <v>107</v>
      </c>
      <c r="F39" t="s">
        <v>108</v>
      </c>
      <c r="G39" t="s">
        <v>22</v>
      </c>
    </row>
    <row r="40" spans="1:7" x14ac:dyDescent="0.3">
      <c r="A40" t="s">
        <v>109</v>
      </c>
      <c r="B40" t="s">
        <v>110</v>
      </c>
      <c r="C40" s="1">
        <v>45258.645833333299</v>
      </c>
      <c r="D40" s="1">
        <v>45305.645833333299</v>
      </c>
      <c r="E40" t="s">
        <v>111</v>
      </c>
      <c r="F40" t="s">
        <v>112</v>
      </c>
      <c r="G40" t="s">
        <v>22</v>
      </c>
    </row>
    <row r="41" spans="1:7" x14ac:dyDescent="0.3">
      <c r="A41" t="s">
        <v>113</v>
      </c>
      <c r="B41" t="s">
        <v>114</v>
      </c>
      <c r="C41" s="1">
        <v>45293.645833333299</v>
      </c>
      <c r="D41" s="1">
        <v>45308.645833333299</v>
      </c>
      <c r="E41" t="s">
        <v>74</v>
      </c>
      <c r="F41" t="s">
        <v>22</v>
      </c>
      <c r="G41" t="s">
        <v>22</v>
      </c>
    </row>
    <row r="42" spans="1:7" x14ac:dyDescent="0.3">
      <c r="A42" t="s">
        <v>115</v>
      </c>
      <c r="B42" t="s">
        <v>116</v>
      </c>
      <c r="C42" s="1">
        <v>45298.645833333299</v>
      </c>
      <c r="D42" s="1">
        <v>45320.645833333299</v>
      </c>
      <c r="E42" t="s">
        <v>117</v>
      </c>
      <c r="F42" t="s">
        <v>22</v>
      </c>
      <c r="G42" t="s">
        <v>22</v>
      </c>
    </row>
    <row r="43" spans="1:7" x14ac:dyDescent="0.3">
      <c r="A43" t="s">
        <v>118</v>
      </c>
      <c r="B43" t="s">
        <v>119</v>
      </c>
      <c r="C43" s="1">
        <v>45307.645833333299</v>
      </c>
      <c r="D43" s="1">
        <v>45329.645833333299</v>
      </c>
      <c r="E43" t="s">
        <v>117</v>
      </c>
      <c r="F43" t="s">
        <v>22</v>
      </c>
      <c r="G43" t="s">
        <v>22</v>
      </c>
    </row>
    <row r="44" spans="1:7" x14ac:dyDescent="0.3">
      <c r="A44" t="s">
        <v>120</v>
      </c>
      <c r="B44" t="s">
        <v>121</v>
      </c>
      <c r="C44" s="1">
        <v>45308.645833333299</v>
      </c>
      <c r="D44" s="1">
        <v>45315.645833333299</v>
      </c>
      <c r="E44" t="s">
        <v>122</v>
      </c>
      <c r="F44" t="s">
        <v>22</v>
      </c>
      <c r="G44" t="s">
        <v>22</v>
      </c>
    </row>
    <row r="45" spans="1:7" x14ac:dyDescent="0.3">
      <c r="A45" t="s">
        <v>123</v>
      </c>
      <c r="B45" t="s">
        <v>124</v>
      </c>
      <c r="C45" s="1">
        <v>45314.645833333299</v>
      </c>
      <c r="D45" s="1">
        <v>45353.645833333299</v>
      </c>
      <c r="E45" t="s">
        <v>125</v>
      </c>
      <c r="F45" t="s">
        <v>22</v>
      </c>
      <c r="G45" t="s">
        <v>22</v>
      </c>
    </row>
    <row r="46" spans="1:7" x14ac:dyDescent="0.3">
      <c r="A46" t="s">
        <v>126</v>
      </c>
      <c r="B46" t="s">
        <v>127</v>
      </c>
      <c r="C46" s="1">
        <v>45318.645833333299</v>
      </c>
      <c r="D46" s="1">
        <v>45348.645833333299</v>
      </c>
      <c r="E46" t="s">
        <v>21</v>
      </c>
      <c r="F46" t="s">
        <v>22</v>
      </c>
      <c r="G46" t="s">
        <v>22</v>
      </c>
    </row>
    <row r="47" spans="1:7" x14ac:dyDescent="0.3">
      <c r="A47" t="s">
        <v>128</v>
      </c>
      <c r="B47" t="s">
        <v>129</v>
      </c>
      <c r="C47" s="1">
        <v>45322.645833333299</v>
      </c>
      <c r="D47" s="1">
        <v>45340.645833333299</v>
      </c>
      <c r="E47" t="s">
        <v>130</v>
      </c>
      <c r="F47" t="s">
        <v>22</v>
      </c>
      <c r="G47" t="s">
        <v>22</v>
      </c>
    </row>
    <row r="48" spans="1:7" x14ac:dyDescent="0.3">
      <c r="A48" t="s">
        <v>131</v>
      </c>
      <c r="B48" t="s">
        <v>132</v>
      </c>
      <c r="C48" s="1">
        <v>45335.645833333299</v>
      </c>
      <c r="D48" s="1">
        <v>45360.645833333299</v>
      </c>
      <c r="E48" t="s">
        <v>133</v>
      </c>
      <c r="F48" t="s">
        <v>22</v>
      </c>
      <c r="G48" t="s">
        <v>22</v>
      </c>
    </row>
    <row r="49" spans="1:7" x14ac:dyDescent="0.3">
      <c r="A49" t="s">
        <v>134</v>
      </c>
      <c r="B49" t="s">
        <v>135</v>
      </c>
      <c r="C49" s="1">
        <v>45339.645833333299</v>
      </c>
      <c r="D49" s="1">
        <v>45355.645833333299</v>
      </c>
      <c r="E49" t="s">
        <v>130</v>
      </c>
      <c r="F49" t="s">
        <v>22</v>
      </c>
      <c r="G49" t="s">
        <v>22</v>
      </c>
    </row>
    <row r="50" spans="1:7" x14ac:dyDescent="0.3">
      <c r="A50" t="s">
        <v>136</v>
      </c>
      <c r="B50" t="s">
        <v>137</v>
      </c>
      <c r="C50" s="1">
        <v>45342.645833333299</v>
      </c>
      <c r="D50" s="1">
        <v>45355.645833333299</v>
      </c>
      <c r="E50" t="s">
        <v>138</v>
      </c>
      <c r="F50" t="s">
        <v>22</v>
      </c>
      <c r="G50" t="s">
        <v>22</v>
      </c>
    </row>
    <row r="51" spans="1:7" x14ac:dyDescent="0.3">
      <c r="A51" t="s">
        <v>139</v>
      </c>
      <c r="B51" t="s">
        <v>140</v>
      </c>
      <c r="C51" s="1">
        <v>45348.645833333299</v>
      </c>
      <c r="D51" s="1">
        <v>45360.645833333299</v>
      </c>
      <c r="E51" t="s">
        <v>141</v>
      </c>
      <c r="F51" t="s">
        <v>22</v>
      </c>
      <c r="G51" t="s">
        <v>22</v>
      </c>
    </row>
    <row r="52" spans="1:7" x14ac:dyDescent="0.3">
      <c r="A52" t="s">
        <v>142</v>
      </c>
      <c r="B52" t="s">
        <v>143</v>
      </c>
      <c r="C52" s="1">
        <v>45350.645833333299</v>
      </c>
      <c r="D52" s="1">
        <v>45363.645833333299</v>
      </c>
      <c r="E52" t="s">
        <v>138</v>
      </c>
      <c r="F52" t="s">
        <v>22</v>
      </c>
      <c r="G52" t="s">
        <v>22</v>
      </c>
    </row>
    <row r="53" spans="1:7" x14ac:dyDescent="0.3">
      <c r="A53" t="s">
        <v>144</v>
      </c>
      <c r="B53" t="s">
        <v>145</v>
      </c>
      <c r="C53" t="s">
        <v>23</v>
      </c>
      <c r="D53" s="1">
        <v>45363.645833333299</v>
      </c>
      <c r="E53" t="s">
        <v>22</v>
      </c>
      <c r="F53" t="s">
        <v>22</v>
      </c>
      <c r="G5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 tint="-0.249977111117893"/>
  </sheetPr>
  <dimension ref="A1:AL55"/>
  <sheetViews>
    <sheetView zoomScale="55" zoomScaleNormal="55" zoomScaleSheetLayoutView="40" zoomScalePageLayoutView="40" workbookViewId="0">
      <selection activeCell="AB23" sqref="AB23"/>
    </sheetView>
  </sheetViews>
  <sheetFormatPr defaultColWidth="9.109375" defaultRowHeight="15.6" outlineLevelCol="1" x14ac:dyDescent="0.3"/>
  <cols>
    <col min="1" max="1" width="13.6640625" style="20" customWidth="1"/>
    <col min="2" max="2" width="18.44140625" style="21" customWidth="1"/>
    <col min="3" max="3" width="65.5546875" style="22" customWidth="1"/>
    <col min="4" max="4" width="9.5546875" style="23" hidden="1" customWidth="1"/>
    <col min="5" max="5" width="23.6640625" style="22" customWidth="1"/>
    <col min="6" max="6" width="22.44140625" style="24" customWidth="1" outlineLevel="1"/>
    <col min="7" max="7" width="20.88671875" style="24" customWidth="1" outlineLevel="1"/>
    <col min="8" max="8" width="17.6640625" style="24" hidden="1" customWidth="1" outlineLevel="1"/>
    <col min="9" max="9" width="16.109375" style="24" hidden="1" customWidth="1" outlineLevel="1"/>
    <col min="10" max="10" width="23.44140625" style="24" customWidth="1" outlineLevel="1"/>
    <col min="11" max="11" width="23.44140625" style="24" bestFit="1" customWidth="1" outlineLevel="1"/>
    <col min="12" max="13" width="15.109375" style="24" hidden="1" customWidth="1" outlineLevel="1"/>
    <col min="14" max="14" width="14.33203125" style="24" hidden="1" customWidth="1" outlineLevel="1"/>
    <col min="15" max="15" width="15.5546875" style="26" hidden="1" customWidth="1" outlineLevel="1"/>
    <col min="16" max="16" width="17" style="24" hidden="1" customWidth="1" outlineLevel="1"/>
    <col min="17" max="17" width="11.44140625" style="24" hidden="1" customWidth="1" outlineLevel="1"/>
    <col min="18" max="18" width="15" style="27" customWidth="1" outlineLevel="1"/>
    <col min="19" max="19" width="19.44140625" style="27" customWidth="1" outlineLevel="1"/>
    <col min="20" max="20" width="22" style="28" customWidth="1" outlineLevel="1"/>
    <col min="21" max="21" width="19.5546875" style="28" bestFit="1" customWidth="1" outlineLevel="1"/>
    <col min="22" max="22" width="15.6640625" style="28" customWidth="1" outlineLevel="1"/>
    <col min="23" max="23" width="17.44140625" style="28" customWidth="1" outlineLevel="1"/>
    <col min="24" max="24" width="21.5546875" style="28" bestFit="1" customWidth="1" outlineLevel="1"/>
    <col min="25" max="25" width="11.109375" style="28" hidden="1" customWidth="1" outlineLevel="1"/>
    <col min="26" max="26" width="4.6640625" style="28" hidden="1" customWidth="1" outlineLevel="1"/>
    <col min="27" max="27" width="14.44140625" style="28" hidden="1" customWidth="1" outlineLevel="1"/>
    <col min="28" max="28" width="23.6640625" style="27" customWidth="1" outlineLevel="1"/>
    <col min="29" max="29" width="16.5546875" style="27" customWidth="1" outlineLevel="1"/>
    <col min="30" max="30" width="96.5546875" style="24" customWidth="1"/>
    <col min="31" max="16384" width="9.109375" style="24"/>
  </cols>
  <sheetData>
    <row r="1" spans="1:38" ht="16.2" thickBot="1" x14ac:dyDescent="0.35"/>
    <row r="2" spans="1:38" customFormat="1" ht="97.5" customHeight="1" x14ac:dyDescent="0.3">
      <c r="A2" s="150" t="s">
        <v>146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2"/>
      <c r="AB2" s="151"/>
      <c r="AC2" s="152"/>
    </row>
    <row r="3" spans="1:38" customFormat="1" ht="19.649999999999999" customHeight="1" x14ac:dyDescent="0.3">
      <c r="A3" s="123"/>
      <c r="B3" s="123"/>
      <c r="C3" s="123"/>
      <c r="D3" s="40"/>
      <c r="E3" s="40"/>
      <c r="F3" s="119" t="s">
        <v>153</v>
      </c>
      <c r="G3" s="119"/>
      <c r="H3" s="119"/>
      <c r="I3" s="119"/>
      <c r="J3" s="119"/>
      <c r="K3" s="124" t="s">
        <v>984</v>
      </c>
      <c r="L3" s="125"/>
      <c r="M3" s="125"/>
      <c r="N3" s="125"/>
      <c r="O3" s="125"/>
      <c r="P3" s="125"/>
      <c r="Q3" s="125"/>
      <c r="R3" s="125"/>
      <c r="S3" s="126"/>
      <c r="T3" s="133" t="s">
        <v>923</v>
      </c>
      <c r="U3" s="133"/>
      <c r="V3" s="133"/>
      <c r="W3" s="134" t="s">
        <v>924</v>
      </c>
      <c r="X3" s="134"/>
      <c r="Y3" s="36"/>
      <c r="Z3" s="36"/>
      <c r="AA3" s="119" t="s">
        <v>921</v>
      </c>
      <c r="AB3" s="119" t="s">
        <v>920</v>
      </c>
      <c r="AC3" s="119"/>
    </row>
    <row r="4" spans="1:38" customFormat="1" ht="19.649999999999999" customHeight="1" x14ac:dyDescent="0.3">
      <c r="A4" s="37" t="s">
        <v>150</v>
      </c>
      <c r="B4" s="135"/>
      <c r="C4" s="135"/>
      <c r="D4" s="41"/>
      <c r="E4" s="41"/>
      <c r="F4" s="119"/>
      <c r="G4" s="119"/>
      <c r="H4" s="119"/>
      <c r="I4" s="119"/>
      <c r="J4" s="119"/>
      <c r="K4" s="127"/>
      <c r="L4" s="128"/>
      <c r="M4" s="128"/>
      <c r="N4" s="128"/>
      <c r="O4" s="128"/>
      <c r="P4" s="128"/>
      <c r="Q4" s="128"/>
      <c r="R4" s="128"/>
      <c r="S4" s="129"/>
      <c r="T4" s="133"/>
      <c r="U4" s="133"/>
      <c r="V4" s="133"/>
      <c r="W4" s="134"/>
      <c r="X4" s="134"/>
      <c r="Y4" s="36"/>
      <c r="Z4" s="36"/>
      <c r="AA4" s="119"/>
      <c r="AB4" s="119"/>
      <c r="AC4" s="119"/>
    </row>
    <row r="5" spans="1:38" customFormat="1" ht="19.649999999999999" customHeight="1" x14ac:dyDescent="0.3">
      <c r="A5" s="37" t="s">
        <v>151</v>
      </c>
      <c r="B5" s="148"/>
      <c r="C5" s="148"/>
      <c r="D5" s="42"/>
      <c r="E5" s="42"/>
      <c r="F5" s="119"/>
      <c r="G5" s="119"/>
      <c r="H5" s="119"/>
      <c r="I5" s="119"/>
      <c r="J5" s="119"/>
      <c r="K5" s="130"/>
      <c r="L5" s="131"/>
      <c r="M5" s="131"/>
      <c r="N5" s="131"/>
      <c r="O5" s="131"/>
      <c r="P5" s="131"/>
      <c r="Q5" s="131"/>
      <c r="R5" s="131"/>
      <c r="S5" s="132"/>
      <c r="T5" s="133"/>
      <c r="U5" s="133"/>
      <c r="V5" s="133"/>
      <c r="W5" s="134"/>
      <c r="X5" s="134"/>
      <c r="Y5" s="36"/>
      <c r="Z5" s="36"/>
      <c r="AA5" s="119"/>
      <c r="AB5" s="119"/>
      <c r="AC5" s="119"/>
      <c r="AL5" s="6"/>
    </row>
    <row r="6" spans="1:38" customFormat="1" ht="22.5" customHeight="1" x14ac:dyDescent="0.3">
      <c r="A6" s="37" t="s">
        <v>152</v>
      </c>
      <c r="B6" s="120"/>
      <c r="C6" s="120"/>
      <c r="D6" s="39"/>
      <c r="E6" s="39"/>
      <c r="F6" s="121" t="s">
        <v>990</v>
      </c>
      <c r="G6" s="121"/>
      <c r="H6" s="121"/>
      <c r="I6" s="121"/>
      <c r="J6" s="121"/>
      <c r="K6" s="122" t="s">
        <v>989</v>
      </c>
      <c r="L6" s="122"/>
      <c r="M6" s="122"/>
      <c r="N6" s="122"/>
      <c r="O6" s="122"/>
      <c r="P6" s="122"/>
      <c r="Q6" s="122"/>
      <c r="R6" s="122"/>
      <c r="S6" s="122"/>
      <c r="T6" s="122">
        <f>COUNTIF(B12:B20,"On time")</f>
        <v>9</v>
      </c>
      <c r="U6" s="122"/>
      <c r="V6" s="122"/>
      <c r="W6" s="122">
        <f>COUNTIF(B12:B20,"Inprogress")</f>
        <v>0</v>
      </c>
      <c r="X6" s="122"/>
      <c r="Y6" s="31"/>
      <c r="Z6" s="31"/>
      <c r="AA6" s="147" t="s">
        <v>922</v>
      </c>
      <c r="AB6" s="136" t="s">
        <v>1189</v>
      </c>
      <c r="AC6" s="136"/>
    </row>
    <row r="7" spans="1:38" customFormat="1" ht="24.75" customHeight="1" x14ac:dyDescent="0.3">
      <c r="A7" s="38" t="s">
        <v>149</v>
      </c>
      <c r="B7" s="149"/>
      <c r="C7" s="149"/>
      <c r="D7" s="46"/>
      <c r="E7" s="46"/>
      <c r="F7" s="121"/>
      <c r="G7" s="121"/>
      <c r="H7" s="121"/>
      <c r="I7" s="121"/>
      <c r="J7" s="121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31"/>
      <c r="Z7" s="31"/>
      <c r="AA7" s="147"/>
      <c r="AB7" s="137">
        <v>0.45833333333333331</v>
      </c>
      <c r="AC7" s="137"/>
    </row>
    <row r="8" spans="1:38" customFormat="1" ht="19.649999999999999" customHeight="1" x14ac:dyDescent="0.3">
      <c r="A8" s="138" t="s">
        <v>979</v>
      </c>
      <c r="B8" s="138" t="s">
        <v>958</v>
      </c>
      <c r="C8" s="142" t="s">
        <v>980</v>
      </c>
      <c r="D8" s="139" t="s">
        <v>174</v>
      </c>
      <c r="E8" s="142" t="s">
        <v>960</v>
      </c>
      <c r="F8" s="140" t="s">
        <v>975</v>
      </c>
      <c r="G8" s="140"/>
      <c r="H8" s="58"/>
      <c r="I8" s="58"/>
      <c r="J8" s="140" t="s">
        <v>974</v>
      </c>
      <c r="K8" s="140"/>
      <c r="L8" s="58"/>
      <c r="M8" s="58"/>
      <c r="N8" s="58"/>
      <c r="O8" s="141" t="s">
        <v>154</v>
      </c>
      <c r="P8" s="160" t="s">
        <v>161</v>
      </c>
      <c r="Q8" s="139" t="s">
        <v>154</v>
      </c>
      <c r="R8" s="157" t="s">
        <v>964</v>
      </c>
      <c r="S8" s="59"/>
      <c r="T8" s="73"/>
      <c r="U8" s="74"/>
      <c r="V8" s="74"/>
      <c r="W8" s="74"/>
      <c r="X8" s="75"/>
      <c r="Y8" s="59"/>
      <c r="Z8" s="59"/>
      <c r="AA8" s="153" t="s">
        <v>148</v>
      </c>
      <c r="AB8" s="154" t="s">
        <v>970</v>
      </c>
      <c r="AC8" s="154" t="s">
        <v>971</v>
      </c>
    </row>
    <row r="9" spans="1:38" customFormat="1" ht="19.649999999999999" customHeight="1" x14ac:dyDescent="0.3">
      <c r="A9" s="138"/>
      <c r="B9" s="138"/>
      <c r="C9" s="143"/>
      <c r="D9" s="139"/>
      <c r="E9" s="143"/>
      <c r="F9" s="140"/>
      <c r="G9" s="140"/>
      <c r="H9" s="58"/>
      <c r="I9" s="58"/>
      <c r="J9" s="140"/>
      <c r="K9" s="140"/>
      <c r="L9" s="58"/>
      <c r="M9" s="58"/>
      <c r="N9" s="58"/>
      <c r="O9" s="141"/>
      <c r="P9" s="160"/>
      <c r="Q9" s="138"/>
      <c r="R9" s="158"/>
      <c r="S9" s="155" t="s">
        <v>981</v>
      </c>
      <c r="T9" s="155" t="s">
        <v>982</v>
      </c>
      <c r="U9" s="153" t="s">
        <v>966</v>
      </c>
      <c r="V9" s="156" t="s">
        <v>983</v>
      </c>
      <c r="W9" s="155" t="s">
        <v>978</v>
      </c>
      <c r="X9" s="155" t="s">
        <v>969</v>
      </c>
      <c r="Y9" s="60"/>
      <c r="Z9" s="60"/>
      <c r="AA9" s="153"/>
      <c r="AB9" s="154"/>
      <c r="AC9" s="154"/>
    </row>
    <row r="10" spans="1:38" customFormat="1" ht="36.75" customHeight="1" x14ac:dyDescent="0.3">
      <c r="A10" s="138"/>
      <c r="B10" s="138"/>
      <c r="C10" s="143"/>
      <c r="D10" s="139"/>
      <c r="E10" s="143"/>
      <c r="F10" s="145" t="s">
        <v>963</v>
      </c>
      <c r="G10" s="145" t="s">
        <v>962</v>
      </c>
      <c r="H10" s="58"/>
      <c r="I10" s="58"/>
      <c r="J10" s="145" t="s">
        <v>963</v>
      </c>
      <c r="K10" s="145" t="s">
        <v>962</v>
      </c>
      <c r="L10" s="58"/>
      <c r="M10" s="58"/>
      <c r="N10" s="58"/>
      <c r="O10" s="141"/>
      <c r="P10" s="160"/>
      <c r="Q10" s="138"/>
      <c r="R10" s="159"/>
      <c r="S10" s="155"/>
      <c r="T10" s="155"/>
      <c r="U10" s="153"/>
      <c r="V10" s="156"/>
      <c r="W10" s="155"/>
      <c r="X10" s="155"/>
      <c r="Y10" s="60"/>
      <c r="Z10" s="60"/>
      <c r="AA10" s="153"/>
      <c r="AB10" s="154"/>
      <c r="AC10" s="154"/>
    </row>
    <row r="11" spans="1:38" customFormat="1" ht="40.5" customHeight="1" x14ac:dyDescent="0.3">
      <c r="A11" s="138"/>
      <c r="B11" s="138"/>
      <c r="C11" s="144"/>
      <c r="D11" s="59"/>
      <c r="E11" s="144"/>
      <c r="F11" s="146"/>
      <c r="G11" s="146"/>
      <c r="H11" s="59"/>
      <c r="I11" s="59"/>
      <c r="J11" s="146"/>
      <c r="K11" s="146"/>
      <c r="L11" s="58"/>
      <c r="M11" s="58"/>
      <c r="N11" s="58"/>
      <c r="O11" s="61"/>
      <c r="P11" s="62"/>
      <c r="Q11" s="138"/>
      <c r="R11" s="63">
        <v>0.1</v>
      </c>
      <c r="S11" s="63">
        <v>0.1</v>
      </c>
      <c r="T11" s="63">
        <v>0.05</v>
      </c>
      <c r="U11" s="63">
        <v>0.1</v>
      </c>
      <c r="V11" s="63">
        <v>0.45</v>
      </c>
      <c r="W11" s="63">
        <v>0.1</v>
      </c>
      <c r="X11" s="63">
        <v>0.1</v>
      </c>
      <c r="Y11" s="63">
        <v>0</v>
      </c>
      <c r="Z11" s="63">
        <v>0</v>
      </c>
      <c r="AA11" s="153"/>
      <c r="AB11" s="64">
        <f>AVERAGE(AB12:AB20)</f>
        <v>1</v>
      </c>
      <c r="AC11" s="65">
        <f>AVERAGE(AC12:AC20)</f>
        <v>1</v>
      </c>
    </row>
    <row r="12" spans="1:38" customFormat="1" ht="60" customHeight="1" x14ac:dyDescent="0.3">
      <c r="A12" s="30">
        <v>8234</v>
      </c>
      <c r="B12" s="47" t="str">
        <f t="shared" ref="B12" si="0">IF(AC12=1,"On time","Inprogress")</f>
        <v>On time</v>
      </c>
      <c r="C12" s="48" t="s">
        <v>986</v>
      </c>
      <c r="D12" s="47"/>
      <c r="E12" s="57" t="s">
        <v>964</v>
      </c>
      <c r="F12" s="50" t="s">
        <v>954</v>
      </c>
      <c r="G12" s="50" t="s">
        <v>987</v>
      </c>
      <c r="H12" s="50"/>
      <c r="I12" s="50"/>
      <c r="J12" s="50" t="s">
        <v>954</v>
      </c>
      <c r="K12" s="50" t="s">
        <v>977</v>
      </c>
      <c r="L12" s="50"/>
      <c r="M12" s="50"/>
      <c r="N12" s="50"/>
      <c r="O12" s="53"/>
      <c r="P12" s="53"/>
      <c r="Q12" s="53"/>
      <c r="R12" s="54">
        <v>1</v>
      </c>
      <c r="S12" s="54">
        <v>1</v>
      </c>
      <c r="T12" s="54">
        <v>1</v>
      </c>
      <c r="U12" s="54">
        <v>1</v>
      </c>
      <c r="V12" s="54">
        <v>1</v>
      </c>
      <c r="W12" s="54">
        <v>1</v>
      </c>
      <c r="X12" s="54">
        <v>1</v>
      </c>
      <c r="Y12" s="54"/>
      <c r="Z12" s="54"/>
      <c r="AA12" s="54"/>
      <c r="AB12" s="55">
        <f t="shared" ref="AB12" si="1">SUMPRODUCT($T$11:$AA$11,T12:AA12)/0.8</f>
        <v>1</v>
      </c>
      <c r="AC12" s="55">
        <f t="shared" ref="AC12" si="2">SUMPRODUCT($R$11:$AA$11,R12:AA12)</f>
        <v>1</v>
      </c>
    </row>
    <row r="13" spans="1:38" customFormat="1" ht="60" customHeight="1" x14ac:dyDescent="0.3">
      <c r="A13" s="30">
        <v>8079</v>
      </c>
      <c r="B13" s="47" t="str">
        <f>IF(AC13=1,"On time","Inprogress")</f>
        <v>On time</v>
      </c>
      <c r="C13" s="48" t="s">
        <v>1012</v>
      </c>
      <c r="D13" s="47"/>
      <c r="E13" s="57" t="s">
        <v>964</v>
      </c>
      <c r="F13" s="50" t="s">
        <v>976</v>
      </c>
      <c r="G13" s="50" t="s">
        <v>1013</v>
      </c>
      <c r="H13" s="50"/>
      <c r="I13" s="50"/>
      <c r="J13" s="50" t="s">
        <v>976</v>
      </c>
      <c r="K13" s="50" t="s">
        <v>1077</v>
      </c>
      <c r="L13" s="50"/>
      <c r="M13" s="50"/>
      <c r="N13" s="50"/>
      <c r="O13" s="53"/>
      <c r="P13" s="53"/>
      <c r="Q13" s="53"/>
      <c r="R13" s="54">
        <v>1</v>
      </c>
      <c r="S13" s="54">
        <v>1</v>
      </c>
      <c r="T13" s="54">
        <v>1</v>
      </c>
      <c r="U13" s="54">
        <v>1</v>
      </c>
      <c r="V13" s="54">
        <v>1</v>
      </c>
      <c r="W13" s="54">
        <v>1</v>
      </c>
      <c r="X13" s="54">
        <v>1</v>
      </c>
      <c r="Y13" s="54">
        <v>0</v>
      </c>
      <c r="Z13" s="54">
        <v>0</v>
      </c>
      <c r="AA13" s="54">
        <v>0</v>
      </c>
      <c r="AB13" s="55">
        <f t="shared" ref="AB13:AB20" si="3">SUMPRODUCT($T$11:$AA$11,T13:AA13)/0.8</f>
        <v>1</v>
      </c>
      <c r="AC13" s="55">
        <f t="shared" ref="AC13:AC20" si="4">SUMPRODUCT($R$11:$AA$11,R13:AA13)</f>
        <v>1</v>
      </c>
    </row>
    <row r="14" spans="1:38" customFormat="1" ht="60" customHeight="1" x14ac:dyDescent="0.3">
      <c r="A14" s="30">
        <v>7893</v>
      </c>
      <c r="B14" s="47" t="str">
        <f>IF(AC14=1,"On time","Inprogress")</f>
        <v>On time</v>
      </c>
      <c r="C14" s="48" t="s">
        <v>1015</v>
      </c>
      <c r="D14" s="47"/>
      <c r="E14" s="57" t="s">
        <v>964</v>
      </c>
      <c r="F14" s="50" t="s">
        <v>987</v>
      </c>
      <c r="G14" s="50" t="s">
        <v>1016</v>
      </c>
      <c r="H14" s="50"/>
      <c r="I14" s="50"/>
      <c r="J14" s="50" t="s">
        <v>987</v>
      </c>
      <c r="K14" s="50" t="s">
        <v>1084</v>
      </c>
      <c r="L14" s="50"/>
      <c r="M14" s="50"/>
      <c r="N14" s="50"/>
      <c r="O14" s="53"/>
      <c r="P14" s="53"/>
      <c r="Q14" s="53"/>
      <c r="R14" s="54">
        <v>1</v>
      </c>
      <c r="S14" s="54">
        <v>1</v>
      </c>
      <c r="T14" s="54">
        <v>1</v>
      </c>
      <c r="U14" s="54">
        <v>1</v>
      </c>
      <c r="V14" s="54">
        <v>1</v>
      </c>
      <c r="W14" s="54">
        <v>1</v>
      </c>
      <c r="X14" s="54">
        <v>1</v>
      </c>
      <c r="Y14" s="54">
        <v>0</v>
      </c>
      <c r="Z14" s="54">
        <v>0</v>
      </c>
      <c r="AA14" s="54">
        <v>0</v>
      </c>
      <c r="AB14" s="55">
        <f t="shared" si="3"/>
        <v>1</v>
      </c>
      <c r="AC14" s="55">
        <f t="shared" si="4"/>
        <v>1</v>
      </c>
    </row>
    <row r="15" spans="1:38" customFormat="1" ht="60" customHeight="1" x14ac:dyDescent="0.3">
      <c r="A15" s="30">
        <v>7892</v>
      </c>
      <c r="B15" s="47" t="str">
        <f>IF(AC15=1,"On time","Inprogress")</f>
        <v>On time</v>
      </c>
      <c r="C15" s="48" t="s">
        <v>1017</v>
      </c>
      <c r="D15" s="47"/>
      <c r="E15" s="57" t="s">
        <v>964</v>
      </c>
      <c r="F15" s="50" t="s">
        <v>987</v>
      </c>
      <c r="G15" s="50" t="s">
        <v>1018</v>
      </c>
      <c r="H15" s="50"/>
      <c r="I15" s="50"/>
      <c r="J15" s="50" t="s">
        <v>987</v>
      </c>
      <c r="K15" s="50" t="s">
        <v>1084</v>
      </c>
      <c r="L15" s="50"/>
      <c r="M15" s="50"/>
      <c r="N15" s="50"/>
      <c r="O15" s="53"/>
      <c r="P15" s="53"/>
      <c r="Q15" s="53"/>
      <c r="R15" s="54">
        <v>1</v>
      </c>
      <c r="S15" s="54">
        <v>1</v>
      </c>
      <c r="T15" s="54">
        <v>1</v>
      </c>
      <c r="U15" s="54">
        <v>1</v>
      </c>
      <c r="V15" s="54">
        <v>1</v>
      </c>
      <c r="W15" s="54">
        <v>1</v>
      </c>
      <c r="X15" s="54">
        <v>1</v>
      </c>
      <c r="Y15" s="54">
        <v>0</v>
      </c>
      <c r="Z15" s="54">
        <v>0</v>
      </c>
      <c r="AA15" s="54">
        <v>0</v>
      </c>
      <c r="AB15" s="55">
        <f t="shared" si="3"/>
        <v>1</v>
      </c>
      <c r="AC15" s="55">
        <f t="shared" si="4"/>
        <v>1</v>
      </c>
    </row>
    <row r="16" spans="1:38" customFormat="1" ht="60" customHeight="1" x14ac:dyDescent="0.3">
      <c r="A16" s="30">
        <v>7891</v>
      </c>
      <c r="B16" s="47" t="str">
        <f>IF(AC16=1,"On time","Inprogress")</f>
        <v>On time</v>
      </c>
      <c r="C16" s="48" t="s">
        <v>1019</v>
      </c>
      <c r="D16" s="47"/>
      <c r="E16" s="57" t="s">
        <v>964</v>
      </c>
      <c r="F16" s="50" t="s">
        <v>953</v>
      </c>
      <c r="G16" s="50" t="s">
        <v>1018</v>
      </c>
      <c r="H16" s="50"/>
      <c r="I16" s="50"/>
      <c r="J16" s="50" t="s">
        <v>953</v>
      </c>
      <c r="K16" s="50" t="s">
        <v>1084</v>
      </c>
      <c r="L16" s="50"/>
      <c r="M16" s="50"/>
      <c r="N16" s="50"/>
      <c r="O16" s="53"/>
      <c r="P16" s="53"/>
      <c r="Q16" s="53"/>
      <c r="R16" s="54">
        <v>1</v>
      </c>
      <c r="S16" s="54">
        <v>1</v>
      </c>
      <c r="T16" s="54">
        <v>1</v>
      </c>
      <c r="U16" s="54">
        <v>1</v>
      </c>
      <c r="V16" s="54">
        <v>1</v>
      </c>
      <c r="W16" s="54">
        <v>1</v>
      </c>
      <c r="X16" s="54">
        <v>1</v>
      </c>
      <c r="Y16" s="54">
        <v>0</v>
      </c>
      <c r="Z16" s="54">
        <v>0</v>
      </c>
      <c r="AA16" s="54">
        <v>0</v>
      </c>
      <c r="AB16" s="55">
        <f t="shared" si="3"/>
        <v>1</v>
      </c>
      <c r="AC16" s="55">
        <f t="shared" si="4"/>
        <v>1</v>
      </c>
    </row>
    <row r="17" spans="1:30" customFormat="1" ht="60" customHeight="1" x14ac:dyDescent="0.3">
      <c r="A17" s="30">
        <v>8129</v>
      </c>
      <c r="B17" s="47" t="str">
        <f>IF(AC17=1,"On time","Inprogress")</f>
        <v>On time</v>
      </c>
      <c r="C17" s="48" t="s">
        <v>1007</v>
      </c>
      <c r="D17" s="47"/>
      <c r="E17" s="57" t="s">
        <v>964</v>
      </c>
      <c r="F17" s="50" t="s">
        <v>1011</v>
      </c>
      <c r="G17" s="50" t="s">
        <v>987</v>
      </c>
      <c r="H17" s="50"/>
      <c r="I17" s="50"/>
      <c r="J17" s="50" t="s">
        <v>1011</v>
      </c>
      <c r="K17" s="50" t="s">
        <v>1091</v>
      </c>
      <c r="L17" s="50"/>
      <c r="M17" s="50"/>
      <c r="N17" s="50"/>
      <c r="O17" s="53"/>
      <c r="P17" s="53"/>
      <c r="Q17" s="53"/>
      <c r="R17" s="54">
        <v>1</v>
      </c>
      <c r="S17" s="54">
        <v>1</v>
      </c>
      <c r="T17" s="54">
        <v>1</v>
      </c>
      <c r="U17" s="54">
        <v>1</v>
      </c>
      <c r="V17" s="54">
        <v>1</v>
      </c>
      <c r="W17" s="54">
        <v>1</v>
      </c>
      <c r="X17" s="54">
        <v>1</v>
      </c>
      <c r="Y17" s="54">
        <v>0</v>
      </c>
      <c r="Z17" s="54">
        <v>0</v>
      </c>
      <c r="AA17" s="54">
        <v>0</v>
      </c>
      <c r="AB17" s="55">
        <f t="shared" si="3"/>
        <v>1</v>
      </c>
      <c r="AC17" s="55">
        <f t="shared" si="4"/>
        <v>1</v>
      </c>
      <c r="AD17" s="76" t="s">
        <v>988</v>
      </c>
    </row>
    <row r="18" spans="1:30" customFormat="1" ht="60" customHeight="1" x14ac:dyDescent="0.3">
      <c r="A18" s="30">
        <v>8116</v>
      </c>
      <c r="B18" s="47" t="str">
        <f t="shared" ref="B18:B20" si="5">IF(AC18=1,"On time","Inprogress")</f>
        <v>On time</v>
      </c>
      <c r="C18" s="48" t="s">
        <v>1049</v>
      </c>
      <c r="D18" s="49"/>
      <c r="E18" s="57" t="s">
        <v>964</v>
      </c>
      <c r="F18" s="50" t="s">
        <v>1090</v>
      </c>
      <c r="G18" s="50" t="s">
        <v>1001</v>
      </c>
      <c r="H18" s="51"/>
      <c r="I18" s="51"/>
      <c r="J18" s="50" t="s">
        <v>1090</v>
      </c>
      <c r="K18" s="50" t="s">
        <v>1112</v>
      </c>
      <c r="L18" s="51"/>
      <c r="M18" s="51"/>
      <c r="N18" s="51"/>
      <c r="O18" s="52"/>
      <c r="P18" s="52"/>
      <c r="Q18" s="53"/>
      <c r="R18" s="54">
        <v>1</v>
      </c>
      <c r="S18" s="54">
        <v>1</v>
      </c>
      <c r="T18" s="54">
        <v>1</v>
      </c>
      <c r="U18" s="54">
        <v>1</v>
      </c>
      <c r="V18" s="54">
        <v>1</v>
      </c>
      <c r="W18" s="54">
        <v>1</v>
      </c>
      <c r="X18" s="54">
        <v>1</v>
      </c>
      <c r="Y18" s="54">
        <v>0</v>
      </c>
      <c r="Z18" s="54">
        <v>0</v>
      </c>
      <c r="AA18" s="54">
        <v>0</v>
      </c>
      <c r="AB18" s="55">
        <f t="shared" si="3"/>
        <v>1</v>
      </c>
      <c r="AC18" s="55">
        <f t="shared" si="4"/>
        <v>1</v>
      </c>
    </row>
    <row r="19" spans="1:30" customFormat="1" ht="60" customHeight="1" x14ac:dyDescent="0.3">
      <c r="A19" s="30">
        <v>7894</v>
      </c>
      <c r="B19" s="47" t="str">
        <f>IF(AC19=1,"On time","Inprogress")</f>
        <v>On time</v>
      </c>
      <c r="C19" s="48" t="s">
        <v>1014</v>
      </c>
      <c r="D19" s="47"/>
      <c r="E19" s="57" t="s">
        <v>964</v>
      </c>
      <c r="F19" s="50" t="s">
        <v>1065</v>
      </c>
      <c r="G19" s="50" t="s">
        <v>1086</v>
      </c>
      <c r="H19" s="50"/>
      <c r="I19" s="50"/>
      <c r="J19" s="50" t="s">
        <v>1065</v>
      </c>
      <c r="K19" s="50" t="s">
        <v>1112</v>
      </c>
      <c r="L19" s="50"/>
      <c r="M19" s="50"/>
      <c r="N19" s="50"/>
      <c r="O19" s="53"/>
      <c r="P19" s="53"/>
      <c r="Q19" s="53"/>
      <c r="R19" s="54">
        <v>1</v>
      </c>
      <c r="S19" s="54">
        <v>1</v>
      </c>
      <c r="T19" s="54">
        <v>1</v>
      </c>
      <c r="U19" s="54">
        <v>1</v>
      </c>
      <c r="V19" s="54">
        <v>1</v>
      </c>
      <c r="W19" s="54">
        <v>1</v>
      </c>
      <c r="X19" s="54">
        <v>1</v>
      </c>
      <c r="Y19" s="54">
        <v>0</v>
      </c>
      <c r="Z19" s="54">
        <v>0</v>
      </c>
      <c r="AA19" s="54">
        <v>0</v>
      </c>
      <c r="AB19" s="55">
        <f t="shared" si="3"/>
        <v>1</v>
      </c>
      <c r="AC19" s="55">
        <f t="shared" si="4"/>
        <v>1</v>
      </c>
    </row>
    <row r="20" spans="1:30" customFormat="1" ht="60" customHeight="1" x14ac:dyDescent="0.3">
      <c r="A20" s="30">
        <v>8428</v>
      </c>
      <c r="B20" s="47" t="str">
        <f t="shared" si="5"/>
        <v>On time</v>
      </c>
      <c r="C20" s="48" t="s">
        <v>1075</v>
      </c>
      <c r="D20" s="47"/>
      <c r="E20" s="57" t="s">
        <v>964</v>
      </c>
      <c r="F20" s="50" t="s">
        <v>1016</v>
      </c>
      <c r="G20" s="50" t="s">
        <v>1001</v>
      </c>
      <c r="H20" s="50"/>
      <c r="I20" s="50"/>
      <c r="J20" s="50" t="s">
        <v>1016</v>
      </c>
      <c r="K20" s="50" t="s">
        <v>1085</v>
      </c>
      <c r="L20" s="50"/>
      <c r="M20" s="50"/>
      <c r="N20" s="50"/>
      <c r="O20" s="53"/>
      <c r="P20" s="53"/>
      <c r="Q20" s="53"/>
      <c r="R20" s="54">
        <v>1</v>
      </c>
      <c r="S20" s="54">
        <v>1</v>
      </c>
      <c r="T20" s="54">
        <v>1</v>
      </c>
      <c r="U20" s="54">
        <v>1</v>
      </c>
      <c r="V20" s="54">
        <v>1</v>
      </c>
      <c r="W20" s="54">
        <v>1</v>
      </c>
      <c r="X20" s="54">
        <v>1</v>
      </c>
      <c r="Y20" s="54"/>
      <c r="Z20" s="54"/>
      <c r="AA20" s="54"/>
      <c r="AB20" s="55">
        <f t="shared" si="3"/>
        <v>1</v>
      </c>
      <c r="AC20" s="55">
        <f t="shared" si="4"/>
        <v>1</v>
      </c>
    </row>
    <row r="21" spans="1:30" x14ac:dyDescent="0.3">
      <c r="G21" s="25"/>
      <c r="H21" s="25"/>
      <c r="I21" s="25"/>
      <c r="J21" s="25"/>
    </row>
    <row r="22" spans="1:30" x14ac:dyDescent="0.3">
      <c r="G22" s="25"/>
      <c r="H22" s="25"/>
      <c r="I22" s="25"/>
      <c r="J22" s="25"/>
    </row>
    <row r="23" spans="1:30" x14ac:dyDescent="0.3">
      <c r="G23" s="25"/>
      <c r="H23" s="25"/>
      <c r="I23" s="25"/>
      <c r="J23" s="25"/>
    </row>
    <row r="24" spans="1:30" x14ac:dyDescent="0.3">
      <c r="G24" s="25"/>
      <c r="H24" s="25"/>
      <c r="I24" s="25"/>
      <c r="J24" s="25"/>
    </row>
    <row r="25" spans="1:30" x14ac:dyDescent="0.3">
      <c r="G25" s="25"/>
      <c r="H25" s="25"/>
      <c r="I25" s="25"/>
      <c r="J25" s="25"/>
    </row>
    <row r="26" spans="1:30" x14ac:dyDescent="0.3">
      <c r="G26" s="25"/>
      <c r="H26" s="25"/>
      <c r="I26" s="25"/>
      <c r="J26" s="25"/>
    </row>
    <row r="27" spans="1:30" x14ac:dyDescent="0.3">
      <c r="G27" s="25"/>
      <c r="H27" s="25"/>
      <c r="I27" s="25"/>
      <c r="J27" s="25"/>
      <c r="K27" s="44"/>
    </row>
    <row r="28" spans="1:30" x14ac:dyDescent="0.3">
      <c r="G28" s="25"/>
      <c r="H28" s="25"/>
      <c r="I28" s="25"/>
      <c r="J28" s="25"/>
    </row>
    <row r="29" spans="1:30" x14ac:dyDescent="0.3">
      <c r="G29" s="25"/>
      <c r="H29" s="25"/>
      <c r="I29" s="25"/>
      <c r="J29" s="25"/>
    </row>
    <row r="30" spans="1:30" x14ac:dyDescent="0.3">
      <c r="G30" s="25"/>
      <c r="H30" s="25"/>
      <c r="I30" s="25"/>
      <c r="J30" s="25"/>
    </row>
    <row r="31" spans="1:30" x14ac:dyDescent="0.3">
      <c r="G31" s="25"/>
      <c r="H31" s="25"/>
      <c r="I31" s="25"/>
      <c r="J31" s="25"/>
    </row>
    <row r="32" spans="1:30" x14ac:dyDescent="0.3">
      <c r="G32" s="25"/>
      <c r="H32" s="25"/>
      <c r="I32" s="25"/>
      <c r="J32" s="25"/>
    </row>
    <row r="33" spans="3:19" x14ac:dyDescent="0.3">
      <c r="G33" s="25"/>
      <c r="H33" s="25"/>
      <c r="I33" s="25"/>
      <c r="J33" s="25"/>
    </row>
    <row r="34" spans="3:19" x14ac:dyDescent="0.3">
      <c r="G34" s="25"/>
      <c r="H34" s="25"/>
      <c r="I34" s="25"/>
      <c r="J34" s="25"/>
    </row>
    <row r="35" spans="3:19" x14ac:dyDescent="0.3">
      <c r="G35" s="25"/>
      <c r="H35" s="25"/>
      <c r="I35" s="25"/>
      <c r="J35" s="25"/>
    </row>
    <row r="36" spans="3:19" x14ac:dyDescent="0.3">
      <c r="C36" s="43">
        <v>45724</v>
      </c>
      <c r="G36" s="25"/>
      <c r="H36" s="25"/>
      <c r="I36" s="25"/>
      <c r="J36" s="25"/>
    </row>
    <row r="37" spans="3:19" x14ac:dyDescent="0.3">
      <c r="G37" s="25"/>
      <c r="H37" s="25"/>
      <c r="I37" s="25"/>
      <c r="J37" s="25"/>
    </row>
    <row r="38" spans="3:19" x14ac:dyDescent="0.3">
      <c r="G38" s="25"/>
      <c r="H38" s="25"/>
      <c r="I38" s="25"/>
      <c r="J38" s="25"/>
    </row>
    <row r="39" spans="3:19" x14ac:dyDescent="0.3">
      <c r="G39" s="25"/>
      <c r="H39" s="25"/>
      <c r="I39" s="25"/>
      <c r="J39" s="25"/>
    </row>
    <row r="40" spans="3:19" x14ac:dyDescent="0.3">
      <c r="G40" s="25"/>
      <c r="H40" s="25"/>
      <c r="I40" s="25"/>
      <c r="J40" s="25"/>
    </row>
    <row r="41" spans="3:19" x14ac:dyDescent="0.3">
      <c r="G41" s="25"/>
      <c r="H41" s="25"/>
      <c r="I41" s="25"/>
      <c r="J41" s="25"/>
    </row>
    <row r="42" spans="3:19" x14ac:dyDescent="0.3">
      <c r="G42" s="25"/>
      <c r="H42" s="25"/>
      <c r="I42" s="25"/>
      <c r="J42" s="25"/>
    </row>
    <row r="44" spans="3:19" x14ac:dyDescent="0.3">
      <c r="S44" s="45"/>
    </row>
    <row r="45" spans="3:19" x14ac:dyDescent="0.3">
      <c r="S45" s="45"/>
    </row>
    <row r="46" spans="3:19" x14ac:dyDescent="0.3">
      <c r="S46" s="45"/>
    </row>
    <row r="47" spans="3:19" x14ac:dyDescent="0.3">
      <c r="S47" s="45"/>
    </row>
    <row r="48" spans="3:19" x14ac:dyDescent="0.3">
      <c r="S48" s="45"/>
    </row>
    <row r="49" spans="19:19" x14ac:dyDescent="0.3">
      <c r="S49" s="45"/>
    </row>
    <row r="50" spans="19:19" x14ac:dyDescent="0.3">
      <c r="S50" s="45"/>
    </row>
    <row r="51" spans="19:19" x14ac:dyDescent="0.3">
      <c r="S51" s="45"/>
    </row>
    <row r="52" spans="19:19" x14ac:dyDescent="0.3">
      <c r="S52" s="45"/>
    </row>
    <row r="53" spans="19:19" x14ac:dyDescent="0.3">
      <c r="S53" s="45"/>
    </row>
    <row r="54" spans="19:19" x14ac:dyDescent="0.3">
      <c r="S54" s="45"/>
    </row>
    <row r="55" spans="19:19" x14ac:dyDescent="0.3">
      <c r="S55" s="45"/>
    </row>
  </sheetData>
  <mergeCells count="44">
    <mergeCell ref="A2:AA2"/>
    <mergeCell ref="AB2:AC2"/>
    <mergeCell ref="AA8:AA11"/>
    <mergeCell ref="AC8:AC10"/>
    <mergeCell ref="S9:S10"/>
    <mergeCell ref="T9:T10"/>
    <mergeCell ref="U9:U10"/>
    <mergeCell ref="V9:V10"/>
    <mergeCell ref="W9:W10"/>
    <mergeCell ref="X9:X10"/>
    <mergeCell ref="J8:K9"/>
    <mergeCell ref="A8:A11"/>
    <mergeCell ref="R8:R10"/>
    <mergeCell ref="P8:P10"/>
    <mergeCell ref="Q8:Q11"/>
    <mergeCell ref="AB8:AB10"/>
    <mergeCell ref="AB3:AC5"/>
    <mergeCell ref="AB6:AC6"/>
    <mergeCell ref="AB7:AC7"/>
    <mergeCell ref="B8:B11"/>
    <mergeCell ref="D8:D10"/>
    <mergeCell ref="F8:G9"/>
    <mergeCell ref="O8:O10"/>
    <mergeCell ref="C8:C11"/>
    <mergeCell ref="E8:E11"/>
    <mergeCell ref="F10:F11"/>
    <mergeCell ref="G10:G11"/>
    <mergeCell ref="J10:J11"/>
    <mergeCell ref="K10:K11"/>
    <mergeCell ref="AA6:AA7"/>
    <mergeCell ref="B5:C5"/>
    <mergeCell ref="B7:C7"/>
    <mergeCell ref="AA3:AA5"/>
    <mergeCell ref="B6:C6"/>
    <mergeCell ref="F6:J7"/>
    <mergeCell ref="K6:S7"/>
    <mergeCell ref="T6:V7"/>
    <mergeCell ref="W6:X7"/>
    <mergeCell ref="A3:C3"/>
    <mergeCell ref="F3:J5"/>
    <mergeCell ref="K3:S5"/>
    <mergeCell ref="T3:V5"/>
    <mergeCell ref="W3:X5"/>
    <mergeCell ref="B4:C4"/>
  </mergeCells>
  <phoneticPr fontId="24" type="noConversion"/>
  <conditionalFormatting sqref="B12:B20">
    <cfRule type="cellIs" dxfId="80" priority="47" operator="equal">
      <formula>"Delete"</formula>
    </cfRule>
    <cfRule type="cellIs" dxfId="79" priority="56" operator="equal">
      <formula>"On time"</formula>
    </cfRule>
    <cfRule type="cellIs" dxfId="78" priority="57" operator="equal">
      <formula>"Delay"</formula>
    </cfRule>
    <cfRule type="cellIs" dxfId="77" priority="59" operator="equal">
      <formula>"Inprogress"</formula>
    </cfRule>
    <cfRule type="cellIs" dxfId="76" priority="60" operator="equal">
      <formula>"Ahead of schedule"</formula>
    </cfRule>
  </conditionalFormatting>
  <conditionalFormatting sqref="B6:E6">
    <cfRule type="cellIs" dxfId="75" priority="58" operator="equal">
      <formula>"Delay"</formula>
    </cfRule>
  </conditionalFormatting>
  <conditionalFormatting sqref="R12:X17">
    <cfRule type="cellIs" dxfId="74" priority="11" operator="equal">
      <formula>1</formula>
    </cfRule>
  </conditionalFormatting>
  <conditionalFormatting sqref="R18:AA18 R19:X20">
    <cfRule type="cellIs" dxfId="73" priority="38" operator="equal">
      <formula>1</formula>
    </cfRule>
  </conditionalFormatting>
  <conditionalFormatting sqref="AB11:AC11">
    <cfRule type="dataBar" priority="52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{A0E4330F-FE45-4F77-9BC3-E6640D0E8665}</x14:id>
        </ext>
      </extLst>
    </cfRule>
  </conditionalFormatting>
  <conditionalFormatting sqref="AB12:AC20">
    <cfRule type="cellIs" dxfId="72" priority="12" operator="between">
      <formula>0.01</formula>
      <formula>0.99</formula>
    </cfRule>
    <cfRule type="cellIs" dxfId="71" priority="13" operator="equal">
      <formula>1</formula>
    </cfRule>
    <cfRule type="cellIs" dxfId="70" priority="14" operator="equal">
      <formula>0</formula>
    </cfRule>
  </conditionalFormatting>
  <pageMargins left="0.1" right="0" top="0.1" bottom="0" header="0" footer="0"/>
  <pageSetup paperSize="9" scale="39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E4330F-FE45-4F77-9BC3-E6640D0E86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AB11:AC11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V16"/>
  <sheetViews>
    <sheetView zoomScale="80" zoomScaleNormal="80" workbookViewId="0">
      <selection activeCell="B37" sqref="B37"/>
    </sheetView>
  </sheetViews>
  <sheetFormatPr defaultColWidth="9.109375" defaultRowHeight="14.4" x14ac:dyDescent="0.3"/>
  <cols>
    <col min="1" max="1" width="12.33203125" style="4" bestFit="1" customWidth="1"/>
    <col min="2" max="2" width="9.5546875" style="4" bestFit="1" customWidth="1"/>
    <col min="3" max="3" width="10.33203125" style="4" bestFit="1" customWidth="1"/>
    <col min="4" max="4" width="56.33203125" style="4" bestFit="1" customWidth="1"/>
    <col min="5" max="5" width="16.6640625" style="4" bestFit="1" customWidth="1"/>
    <col min="6" max="6" width="20" style="4" bestFit="1" customWidth="1"/>
    <col min="7" max="7" width="19.33203125" style="4" bestFit="1" customWidth="1"/>
    <col min="8" max="8" width="27" style="4" bestFit="1" customWidth="1"/>
    <col min="9" max="9" width="26.44140625" style="4" bestFit="1" customWidth="1"/>
    <col min="10" max="10" width="15" style="4" bestFit="1" customWidth="1"/>
    <col min="11" max="11" width="14.44140625" style="4" bestFit="1" customWidth="1"/>
    <col min="12" max="12" width="22" style="4" bestFit="1" customWidth="1"/>
    <col min="13" max="13" width="21.44140625" style="4" bestFit="1" customWidth="1"/>
    <col min="14" max="14" width="12.109375" style="4" bestFit="1" customWidth="1"/>
    <col min="15" max="15" width="20.109375" style="4" bestFit="1" customWidth="1"/>
    <col min="16" max="16" width="19.33203125" style="4" bestFit="1" customWidth="1"/>
    <col min="17" max="17" width="18" style="4" bestFit="1" customWidth="1"/>
    <col min="18" max="18" width="13.5546875" style="4" bestFit="1" customWidth="1"/>
    <col min="19" max="16384" width="9.109375" style="4"/>
  </cols>
  <sheetData>
    <row r="1" spans="1:22" ht="15" customHeight="1" x14ac:dyDescent="0.3">
      <c r="A1" s="97" t="s">
        <v>1170</v>
      </c>
      <c r="B1" s="98" t="s">
        <v>979</v>
      </c>
      <c r="C1" s="98" t="s">
        <v>958</v>
      </c>
      <c r="D1" s="99" t="s">
        <v>980</v>
      </c>
      <c r="E1" s="94" t="s">
        <v>960</v>
      </c>
      <c r="F1" s="94" t="s">
        <v>1104</v>
      </c>
      <c r="G1" s="94" t="s">
        <v>1105</v>
      </c>
      <c r="H1" s="94" t="s">
        <v>1106</v>
      </c>
      <c r="I1" s="98" t="s">
        <v>1107</v>
      </c>
      <c r="J1" s="98" t="s">
        <v>1108</v>
      </c>
      <c r="K1" s="98" t="s">
        <v>1109</v>
      </c>
      <c r="L1" s="98" t="s">
        <v>1110</v>
      </c>
      <c r="M1" s="98" t="s">
        <v>1111</v>
      </c>
      <c r="N1" s="94" t="s">
        <v>964</v>
      </c>
      <c r="O1" s="94" t="s">
        <v>981</v>
      </c>
      <c r="P1" s="94" t="s">
        <v>982</v>
      </c>
      <c r="Q1" s="94" t="s">
        <v>966</v>
      </c>
      <c r="R1" s="94" t="s">
        <v>983</v>
      </c>
      <c r="S1" s="94" t="s">
        <v>978</v>
      </c>
      <c r="T1" s="94" t="s">
        <v>969</v>
      </c>
      <c r="U1" s="94" t="s">
        <v>970</v>
      </c>
      <c r="V1" s="94" t="s">
        <v>971</v>
      </c>
    </row>
    <row r="2" spans="1:22" ht="15" customHeight="1" x14ac:dyDescent="0.3">
      <c r="A2" s="108" t="s">
        <v>1130</v>
      </c>
      <c r="B2" s="94">
        <v>8234</v>
      </c>
      <c r="C2" s="94" t="s">
        <v>150</v>
      </c>
      <c r="D2" s="106" t="s">
        <v>986</v>
      </c>
      <c r="E2" s="94" t="s">
        <v>964</v>
      </c>
      <c r="F2" s="94" t="s">
        <v>954</v>
      </c>
      <c r="G2" s="94" t="s">
        <v>987</v>
      </c>
      <c r="H2" s="103">
        <v>45854</v>
      </c>
      <c r="I2" s="103">
        <v>45875</v>
      </c>
      <c r="J2" s="94" t="s">
        <v>954</v>
      </c>
      <c r="K2" s="94" t="s">
        <v>977</v>
      </c>
      <c r="L2" s="103">
        <v>45854</v>
      </c>
      <c r="M2" s="103">
        <v>45868</v>
      </c>
      <c r="N2" s="95">
        <v>1</v>
      </c>
      <c r="O2" s="95">
        <v>1</v>
      </c>
      <c r="P2" s="95">
        <v>1</v>
      </c>
      <c r="Q2" s="95">
        <v>1</v>
      </c>
      <c r="R2" s="95">
        <v>1</v>
      </c>
      <c r="S2" s="95">
        <v>1</v>
      </c>
      <c r="T2" s="95">
        <v>1</v>
      </c>
      <c r="U2" s="95">
        <v>1</v>
      </c>
      <c r="V2" s="95">
        <v>1</v>
      </c>
    </row>
    <row r="3" spans="1:22" x14ac:dyDescent="0.3">
      <c r="A3" s="108" t="s">
        <v>1130</v>
      </c>
      <c r="B3" s="94">
        <v>8079</v>
      </c>
      <c r="C3" s="94" t="s">
        <v>150</v>
      </c>
      <c r="D3" s="106" t="s">
        <v>1012</v>
      </c>
      <c r="E3" s="94" t="s">
        <v>964</v>
      </c>
      <c r="F3" s="94" t="s">
        <v>976</v>
      </c>
      <c r="G3" s="94" t="s">
        <v>1013</v>
      </c>
      <c r="H3" s="103">
        <v>45864</v>
      </c>
      <c r="I3" s="103">
        <v>45887</v>
      </c>
      <c r="J3" s="94" t="s">
        <v>976</v>
      </c>
      <c r="K3" s="94" t="s">
        <v>1077</v>
      </c>
      <c r="L3" s="103">
        <v>45864</v>
      </c>
      <c r="M3" s="103">
        <v>45927</v>
      </c>
      <c r="N3" s="95">
        <v>1</v>
      </c>
      <c r="O3" s="95">
        <v>1</v>
      </c>
      <c r="P3" s="95">
        <v>1</v>
      </c>
      <c r="Q3" s="95">
        <v>1</v>
      </c>
      <c r="R3" s="95">
        <v>1</v>
      </c>
      <c r="S3" s="95">
        <v>1</v>
      </c>
      <c r="T3" s="95">
        <v>1</v>
      </c>
      <c r="U3" s="95">
        <v>1</v>
      </c>
      <c r="V3" s="95">
        <v>1</v>
      </c>
    </row>
    <row r="4" spans="1:22" x14ac:dyDescent="0.3">
      <c r="A4" s="108" t="s">
        <v>1130</v>
      </c>
      <c r="B4" s="94">
        <v>7893</v>
      </c>
      <c r="C4" s="94" t="s">
        <v>150</v>
      </c>
      <c r="D4" s="106" t="s">
        <v>1015</v>
      </c>
      <c r="E4" s="94" t="s">
        <v>964</v>
      </c>
      <c r="F4" s="94" t="s">
        <v>987</v>
      </c>
      <c r="G4" s="94" t="s">
        <v>1016</v>
      </c>
      <c r="H4" s="103">
        <v>45875</v>
      </c>
      <c r="I4" s="103">
        <v>45916</v>
      </c>
      <c r="J4" s="94" t="s">
        <v>987</v>
      </c>
      <c r="K4" s="94" t="s">
        <v>1084</v>
      </c>
      <c r="L4" s="103">
        <v>45875</v>
      </c>
      <c r="M4" s="103">
        <v>45910</v>
      </c>
      <c r="N4" s="95">
        <v>1</v>
      </c>
      <c r="O4" s="95">
        <v>1</v>
      </c>
      <c r="P4" s="95">
        <v>1</v>
      </c>
      <c r="Q4" s="95">
        <v>1</v>
      </c>
      <c r="R4" s="95">
        <v>1</v>
      </c>
      <c r="S4" s="95">
        <v>1</v>
      </c>
      <c r="T4" s="95">
        <v>1</v>
      </c>
      <c r="U4" s="95">
        <v>1</v>
      </c>
      <c r="V4" s="95">
        <v>1</v>
      </c>
    </row>
    <row r="5" spans="1:22" x14ac:dyDescent="0.3">
      <c r="A5" s="108" t="s">
        <v>1130</v>
      </c>
      <c r="B5" s="94">
        <v>7892</v>
      </c>
      <c r="C5" s="94" t="s">
        <v>150</v>
      </c>
      <c r="D5" s="106" t="s">
        <v>1017</v>
      </c>
      <c r="E5" s="94" t="s">
        <v>964</v>
      </c>
      <c r="F5" s="94" t="s">
        <v>987</v>
      </c>
      <c r="G5" s="94" t="s">
        <v>1018</v>
      </c>
      <c r="H5" s="103">
        <v>45875</v>
      </c>
      <c r="I5" s="103">
        <v>45921</v>
      </c>
      <c r="J5" s="94" t="s">
        <v>987</v>
      </c>
      <c r="K5" s="94" t="s">
        <v>1084</v>
      </c>
      <c r="L5" s="103">
        <v>45875</v>
      </c>
      <c r="M5" s="103">
        <v>45910</v>
      </c>
      <c r="N5" s="95">
        <v>1</v>
      </c>
      <c r="O5" s="95">
        <v>1</v>
      </c>
      <c r="P5" s="95">
        <v>1</v>
      </c>
      <c r="Q5" s="95">
        <v>1</v>
      </c>
      <c r="R5" s="95">
        <v>1</v>
      </c>
      <c r="S5" s="95">
        <v>1</v>
      </c>
      <c r="T5" s="95">
        <v>1</v>
      </c>
      <c r="U5" s="95">
        <v>1</v>
      </c>
      <c r="V5" s="95">
        <v>1</v>
      </c>
    </row>
    <row r="6" spans="1:22" x14ac:dyDescent="0.3">
      <c r="A6" s="108" t="s">
        <v>1130</v>
      </c>
      <c r="B6" s="94">
        <v>7891</v>
      </c>
      <c r="C6" s="94" t="s">
        <v>150</v>
      </c>
      <c r="D6" s="106" t="s">
        <v>1019</v>
      </c>
      <c r="E6" s="94" t="s">
        <v>964</v>
      </c>
      <c r="F6" s="94" t="s">
        <v>953</v>
      </c>
      <c r="G6" s="94" t="s">
        <v>1018</v>
      </c>
      <c r="H6" s="103">
        <v>45885</v>
      </c>
      <c r="I6" s="103">
        <v>45921</v>
      </c>
      <c r="J6" s="94" t="s">
        <v>953</v>
      </c>
      <c r="K6" s="94" t="s">
        <v>1084</v>
      </c>
      <c r="L6" s="103">
        <v>45885</v>
      </c>
      <c r="M6" s="103">
        <v>45910</v>
      </c>
      <c r="N6" s="95">
        <v>1</v>
      </c>
      <c r="O6" s="95">
        <v>1</v>
      </c>
      <c r="P6" s="95">
        <v>1</v>
      </c>
      <c r="Q6" s="95">
        <v>1</v>
      </c>
      <c r="R6" s="95">
        <v>1</v>
      </c>
      <c r="S6" s="95">
        <v>1</v>
      </c>
      <c r="T6" s="95">
        <v>1</v>
      </c>
      <c r="U6" s="95">
        <v>1</v>
      </c>
      <c r="V6" s="95">
        <v>1</v>
      </c>
    </row>
    <row r="7" spans="1:22" x14ac:dyDescent="0.3">
      <c r="A7" s="108" t="s">
        <v>1130</v>
      </c>
      <c r="B7" s="94">
        <v>8129</v>
      </c>
      <c r="C7" s="94" t="s">
        <v>150</v>
      </c>
      <c r="D7" s="106" t="s">
        <v>1007</v>
      </c>
      <c r="E7" s="94" t="s">
        <v>964</v>
      </c>
      <c r="F7" s="94" t="s">
        <v>1011</v>
      </c>
      <c r="G7" s="94" t="s">
        <v>987</v>
      </c>
      <c r="H7" s="103">
        <v>45838</v>
      </c>
      <c r="I7" s="103">
        <v>45875</v>
      </c>
      <c r="J7" s="94" t="s">
        <v>1011</v>
      </c>
      <c r="K7" s="94" t="s">
        <v>1091</v>
      </c>
      <c r="L7" s="103">
        <v>45838</v>
      </c>
      <c r="M7" s="103">
        <v>45919</v>
      </c>
      <c r="N7" s="95">
        <v>1</v>
      </c>
      <c r="O7" s="95">
        <v>1</v>
      </c>
      <c r="P7" s="95">
        <v>1</v>
      </c>
      <c r="Q7" s="95">
        <v>1</v>
      </c>
      <c r="R7" s="95">
        <v>1</v>
      </c>
      <c r="S7" s="95">
        <v>1</v>
      </c>
      <c r="T7" s="95">
        <v>1</v>
      </c>
      <c r="U7" s="95">
        <v>1</v>
      </c>
      <c r="V7" s="95">
        <v>1</v>
      </c>
    </row>
    <row r="8" spans="1:22" x14ac:dyDescent="0.3">
      <c r="A8" s="108" t="s">
        <v>1130</v>
      </c>
      <c r="B8" s="94">
        <v>8116</v>
      </c>
      <c r="C8" s="94" t="s">
        <v>151</v>
      </c>
      <c r="D8" s="106" t="s">
        <v>1049</v>
      </c>
      <c r="E8" s="94" t="s">
        <v>964</v>
      </c>
      <c r="F8" s="94" t="s">
        <v>1090</v>
      </c>
      <c r="G8" s="94" t="s">
        <v>1001</v>
      </c>
      <c r="H8" s="103">
        <v>45897</v>
      </c>
      <c r="I8" s="103">
        <v>45937</v>
      </c>
      <c r="J8" s="94" t="s">
        <v>1090</v>
      </c>
      <c r="K8" s="94" t="s">
        <v>1112</v>
      </c>
      <c r="L8" s="103">
        <v>45897</v>
      </c>
      <c r="M8" s="103">
        <v>45951</v>
      </c>
      <c r="N8" s="95">
        <v>1</v>
      </c>
      <c r="O8" s="95">
        <v>1</v>
      </c>
      <c r="P8" s="95">
        <v>1</v>
      </c>
      <c r="Q8" s="95">
        <v>1</v>
      </c>
      <c r="R8" s="95">
        <v>1</v>
      </c>
      <c r="S8" s="95">
        <v>1</v>
      </c>
      <c r="T8" s="95">
        <v>1</v>
      </c>
      <c r="U8" s="95">
        <v>1</v>
      </c>
      <c r="V8" s="95">
        <v>1</v>
      </c>
    </row>
    <row r="9" spans="1:22" x14ac:dyDescent="0.3">
      <c r="A9" s="108" t="s">
        <v>1130</v>
      </c>
      <c r="B9" s="94">
        <v>7894</v>
      </c>
      <c r="C9" s="94" t="s">
        <v>151</v>
      </c>
      <c r="D9" s="106" t="s">
        <v>1014</v>
      </c>
      <c r="E9" s="94" t="s">
        <v>964</v>
      </c>
      <c r="F9" s="94" t="s">
        <v>1065</v>
      </c>
      <c r="G9" s="94" t="s">
        <v>1086</v>
      </c>
      <c r="H9" s="103">
        <v>45906</v>
      </c>
      <c r="I9" s="103">
        <v>45931</v>
      </c>
      <c r="J9" s="94" t="s">
        <v>1065</v>
      </c>
      <c r="K9" s="94" t="s">
        <v>1112</v>
      </c>
      <c r="L9" s="103">
        <v>45906</v>
      </c>
      <c r="M9" s="103">
        <v>45951</v>
      </c>
      <c r="N9" s="95">
        <v>1</v>
      </c>
      <c r="O9" s="95">
        <v>1</v>
      </c>
      <c r="P9" s="95">
        <v>1</v>
      </c>
      <c r="Q9" s="95">
        <v>1</v>
      </c>
      <c r="R9" s="95">
        <v>1</v>
      </c>
      <c r="S9" s="95">
        <v>1</v>
      </c>
      <c r="T9" s="95">
        <v>1</v>
      </c>
      <c r="U9" s="95">
        <v>1</v>
      </c>
      <c r="V9" s="95">
        <v>1</v>
      </c>
    </row>
    <row r="10" spans="1:22" x14ac:dyDescent="0.3">
      <c r="A10" s="108" t="s">
        <v>1130</v>
      </c>
      <c r="B10" s="94">
        <v>8428</v>
      </c>
      <c r="C10" s="94" t="s">
        <v>151</v>
      </c>
      <c r="D10" s="106" t="s">
        <v>1075</v>
      </c>
      <c r="E10" s="94" t="s">
        <v>964</v>
      </c>
      <c r="F10" s="94" t="s">
        <v>1016</v>
      </c>
      <c r="G10" s="94" t="s">
        <v>1001</v>
      </c>
      <c r="H10" s="103">
        <v>45916</v>
      </c>
      <c r="I10" s="104">
        <v>45937</v>
      </c>
      <c r="J10" s="101" t="s">
        <v>1016</v>
      </c>
      <c r="K10" s="101" t="s">
        <v>1085</v>
      </c>
      <c r="L10" s="104">
        <v>45916</v>
      </c>
      <c r="M10" s="104">
        <v>45926</v>
      </c>
      <c r="N10" s="95">
        <v>1</v>
      </c>
      <c r="O10" s="95">
        <v>1</v>
      </c>
      <c r="P10" s="95">
        <v>1</v>
      </c>
      <c r="Q10" s="95">
        <v>1</v>
      </c>
      <c r="R10" s="95">
        <v>1</v>
      </c>
      <c r="S10" s="95">
        <v>1</v>
      </c>
      <c r="T10" s="95">
        <v>1</v>
      </c>
      <c r="U10" s="95">
        <v>1</v>
      </c>
      <c r="V10" s="95">
        <v>1</v>
      </c>
    </row>
    <row r="11" spans="1:22" x14ac:dyDescent="0.3">
      <c r="A11" s="96" t="s">
        <v>1169</v>
      </c>
      <c r="B11" s="94">
        <v>8147</v>
      </c>
      <c r="C11" s="94" t="s">
        <v>150</v>
      </c>
      <c r="D11" s="106" t="s">
        <v>1171</v>
      </c>
      <c r="E11" s="94"/>
      <c r="F11" s="94" t="s">
        <v>1172</v>
      </c>
      <c r="G11" s="103" t="s">
        <v>1100</v>
      </c>
      <c r="H11" s="103">
        <v>45873</v>
      </c>
      <c r="I11" s="103">
        <v>45911</v>
      </c>
      <c r="J11" s="94" t="s">
        <v>1172</v>
      </c>
      <c r="K11" s="103" t="s">
        <v>1018</v>
      </c>
      <c r="L11" s="103">
        <v>45873</v>
      </c>
      <c r="M11" s="103">
        <v>45921</v>
      </c>
      <c r="N11" s="95">
        <v>1</v>
      </c>
      <c r="O11" s="95">
        <v>1</v>
      </c>
      <c r="P11" s="95">
        <v>1</v>
      </c>
      <c r="Q11" s="95">
        <v>1</v>
      </c>
      <c r="R11" s="95">
        <v>1</v>
      </c>
      <c r="S11" s="95">
        <v>1</v>
      </c>
      <c r="T11" s="95">
        <v>1</v>
      </c>
      <c r="U11" s="95">
        <v>1</v>
      </c>
      <c r="V11" s="95">
        <v>1</v>
      </c>
    </row>
    <row r="12" spans="1:22" x14ac:dyDescent="0.3">
      <c r="A12" s="96" t="s">
        <v>1169</v>
      </c>
      <c r="B12" s="94">
        <v>8305</v>
      </c>
      <c r="C12" s="94" t="s">
        <v>150</v>
      </c>
      <c r="D12" s="106" t="s">
        <v>1173</v>
      </c>
      <c r="E12" s="94"/>
      <c r="F12" s="94" t="s">
        <v>1174</v>
      </c>
      <c r="G12" s="103" t="s">
        <v>1066</v>
      </c>
      <c r="H12" s="103">
        <v>45890</v>
      </c>
      <c r="I12" s="103">
        <v>45913</v>
      </c>
      <c r="J12" s="94" t="s">
        <v>1175</v>
      </c>
      <c r="K12" s="103" t="s">
        <v>1176</v>
      </c>
      <c r="L12" s="103">
        <v>45907</v>
      </c>
      <c r="M12" s="103">
        <v>45922</v>
      </c>
      <c r="N12" s="95">
        <v>1</v>
      </c>
      <c r="O12" s="95">
        <v>1</v>
      </c>
      <c r="P12" s="95">
        <v>1</v>
      </c>
      <c r="Q12" s="95">
        <v>1</v>
      </c>
      <c r="R12" s="95">
        <v>1</v>
      </c>
      <c r="S12" s="95">
        <v>1</v>
      </c>
      <c r="T12" s="95">
        <v>1</v>
      </c>
      <c r="U12" s="95">
        <v>1</v>
      </c>
      <c r="V12" s="95">
        <v>1</v>
      </c>
    </row>
    <row r="13" spans="1:22" x14ac:dyDescent="0.3">
      <c r="A13" s="96" t="s">
        <v>1169</v>
      </c>
      <c r="B13" s="94">
        <v>8304</v>
      </c>
      <c r="C13" s="94" t="s">
        <v>150</v>
      </c>
      <c r="D13" s="106" t="s">
        <v>1177</v>
      </c>
      <c r="E13" s="94"/>
      <c r="F13" s="94" t="s">
        <v>1000</v>
      </c>
      <c r="G13" s="103" t="s">
        <v>1100</v>
      </c>
      <c r="H13" s="103">
        <v>45894</v>
      </c>
      <c r="I13" s="103">
        <v>45911</v>
      </c>
      <c r="J13" s="94" t="s">
        <v>1000</v>
      </c>
      <c r="K13" s="103" t="s">
        <v>1176</v>
      </c>
      <c r="L13" s="103">
        <v>45894</v>
      </c>
      <c r="M13" s="103">
        <v>45922</v>
      </c>
      <c r="N13" s="95">
        <v>1</v>
      </c>
      <c r="O13" s="95">
        <v>1</v>
      </c>
      <c r="P13" s="95">
        <v>1</v>
      </c>
      <c r="Q13" s="95">
        <v>1</v>
      </c>
      <c r="R13" s="95">
        <v>1</v>
      </c>
      <c r="S13" s="95">
        <v>1</v>
      </c>
      <c r="T13" s="95">
        <v>1</v>
      </c>
      <c r="U13" s="95">
        <v>1</v>
      </c>
      <c r="V13" s="95">
        <v>1</v>
      </c>
    </row>
    <row r="14" spans="1:22" x14ac:dyDescent="0.3">
      <c r="A14" s="96" t="s">
        <v>1169</v>
      </c>
      <c r="B14" s="94">
        <v>8336</v>
      </c>
      <c r="C14" s="94" t="s">
        <v>151</v>
      </c>
      <c r="D14" s="106" t="s">
        <v>1178</v>
      </c>
      <c r="E14" s="94"/>
      <c r="F14" s="94" t="s">
        <v>1175</v>
      </c>
      <c r="G14" s="103" t="s">
        <v>1096</v>
      </c>
      <c r="H14" s="103">
        <v>45907</v>
      </c>
      <c r="I14" s="103">
        <v>45947</v>
      </c>
      <c r="J14" s="94" t="s">
        <v>1100</v>
      </c>
      <c r="K14" s="94" t="s">
        <v>1181</v>
      </c>
      <c r="L14" s="103">
        <v>45911</v>
      </c>
      <c r="M14" s="103">
        <v>45946</v>
      </c>
      <c r="N14" s="95">
        <v>1</v>
      </c>
      <c r="O14" s="95">
        <v>1</v>
      </c>
      <c r="P14" s="95">
        <v>1</v>
      </c>
      <c r="Q14" s="95">
        <v>0.3</v>
      </c>
      <c r="R14" s="95">
        <v>0</v>
      </c>
      <c r="S14" s="95">
        <v>0</v>
      </c>
      <c r="T14" s="95">
        <v>0</v>
      </c>
      <c r="U14" s="95">
        <v>9.9999999999999992E-2</v>
      </c>
      <c r="V14" s="95">
        <v>0.28000000000000003</v>
      </c>
    </row>
    <row r="15" spans="1:22" x14ac:dyDescent="0.3">
      <c r="A15" s="96" t="s">
        <v>1169</v>
      </c>
      <c r="B15" s="109">
        <v>8335</v>
      </c>
      <c r="C15" s="94" t="s">
        <v>151</v>
      </c>
      <c r="D15" s="106" t="s">
        <v>1179</v>
      </c>
      <c r="E15" s="94"/>
      <c r="F15" s="94" t="s">
        <v>1175</v>
      </c>
      <c r="G15" s="103" t="s">
        <v>1096</v>
      </c>
      <c r="H15" s="103">
        <v>45907</v>
      </c>
      <c r="I15" s="103">
        <v>45947</v>
      </c>
      <c r="J15" s="94"/>
      <c r="K15" s="94" t="s">
        <v>1181</v>
      </c>
      <c r="L15" s="103"/>
      <c r="M15" s="103">
        <v>45946</v>
      </c>
      <c r="N15" s="95">
        <v>1</v>
      </c>
      <c r="O15" s="95">
        <v>1</v>
      </c>
      <c r="P15" s="95">
        <v>0</v>
      </c>
      <c r="Q15" s="95">
        <v>0</v>
      </c>
      <c r="R15" s="95">
        <v>0</v>
      </c>
      <c r="S15" s="95">
        <v>0</v>
      </c>
      <c r="T15" s="95">
        <v>0</v>
      </c>
      <c r="U15" s="95">
        <v>0</v>
      </c>
      <c r="V15" s="95">
        <v>0.2</v>
      </c>
    </row>
    <row r="16" spans="1:22" x14ac:dyDescent="0.3">
      <c r="A16" s="96" t="s">
        <v>1169</v>
      </c>
      <c r="B16" s="101">
        <v>8490</v>
      </c>
      <c r="C16" s="101" t="s">
        <v>151</v>
      </c>
      <c r="D16" s="107" t="s">
        <v>1180</v>
      </c>
      <c r="E16" s="101"/>
      <c r="F16" s="101"/>
      <c r="G16" s="101" t="s">
        <v>1001</v>
      </c>
      <c r="H16" s="104"/>
      <c r="I16" s="104">
        <v>45937</v>
      </c>
      <c r="J16" s="101"/>
      <c r="K16" s="101"/>
      <c r="L16" s="104"/>
      <c r="M16" s="104"/>
      <c r="N16" s="102">
        <v>1</v>
      </c>
      <c r="O16" s="102">
        <v>1</v>
      </c>
      <c r="P16" s="102">
        <v>0</v>
      </c>
      <c r="Q16" s="102">
        <v>0</v>
      </c>
      <c r="R16" s="102">
        <v>0</v>
      </c>
      <c r="S16" s="102">
        <v>0</v>
      </c>
      <c r="T16" s="102">
        <v>0</v>
      </c>
      <c r="U16" s="102">
        <v>0</v>
      </c>
      <c r="V16" s="102">
        <v>0.2</v>
      </c>
    </row>
  </sheetData>
  <phoneticPr fontId="24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>
    <tabColor theme="5" tint="-0.249977111117893"/>
  </sheetPr>
  <dimension ref="A1:AL106"/>
  <sheetViews>
    <sheetView zoomScale="55" zoomScaleNormal="55" zoomScaleSheetLayoutView="40" zoomScalePageLayoutView="40" workbookViewId="0">
      <selection activeCell="A37" sqref="A37:XFD37"/>
    </sheetView>
  </sheetViews>
  <sheetFormatPr defaultColWidth="9.109375" defaultRowHeight="15.6" outlineLevelCol="1" x14ac:dyDescent="0.3"/>
  <cols>
    <col min="1" max="1" width="11.109375" style="20" customWidth="1"/>
    <col min="2" max="2" width="18" style="21" customWidth="1"/>
    <col min="3" max="3" width="99.6640625" style="22" customWidth="1"/>
    <col min="4" max="4" width="18.33203125" style="22" customWidth="1"/>
    <col min="5" max="5" width="23" style="24" customWidth="1" outlineLevel="1"/>
    <col min="6" max="6" width="24.88671875" style="24" customWidth="1" outlineLevel="1"/>
    <col min="7" max="7" width="22.44140625" style="24" customWidth="1" outlineLevel="1"/>
    <col min="8" max="8" width="22.33203125" style="24" customWidth="1" outlineLevel="1"/>
    <col min="9" max="10" width="13.6640625" style="27" customWidth="1" outlineLevel="1"/>
    <col min="11" max="16" width="13.6640625" style="28" customWidth="1" outlineLevel="1"/>
    <col min="17" max="17" width="19.88671875" style="27" customWidth="1" outlineLevel="1"/>
    <col min="18" max="18" width="15.88671875" style="24" customWidth="1"/>
    <col min="19" max="25" width="10.44140625" style="24" customWidth="1"/>
    <col min="26" max="27" width="10.44140625" style="24" hidden="1" customWidth="1"/>
    <col min="28" max="28" width="10.44140625" style="24" customWidth="1"/>
    <col min="29" max="30" width="12.33203125" style="24" customWidth="1"/>
    <col min="31" max="16384" width="9.109375" style="24"/>
  </cols>
  <sheetData>
    <row r="1" spans="1:38" ht="16.2" thickBot="1" x14ac:dyDescent="0.35"/>
    <row r="2" spans="1:38" customFormat="1" ht="97.5" customHeight="1" x14ac:dyDescent="0.3">
      <c r="A2" s="186" t="s">
        <v>146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51"/>
      <c r="R2" s="188"/>
    </row>
    <row r="3" spans="1:38" customFormat="1" ht="19.649999999999999" customHeight="1" x14ac:dyDescent="0.3">
      <c r="A3" s="123"/>
      <c r="B3" s="123"/>
      <c r="C3" s="123"/>
      <c r="D3" s="40"/>
      <c r="E3" s="119" t="s">
        <v>153</v>
      </c>
      <c r="F3" s="119"/>
      <c r="G3" s="119"/>
      <c r="H3" s="164" t="s">
        <v>985</v>
      </c>
      <c r="I3" s="164"/>
      <c r="J3" s="164"/>
      <c r="K3" s="133" t="s">
        <v>923</v>
      </c>
      <c r="L3" s="133"/>
      <c r="M3" s="133"/>
      <c r="N3" s="171" t="s">
        <v>924</v>
      </c>
      <c r="O3" s="172"/>
      <c r="P3" s="173"/>
      <c r="Q3" s="119" t="s">
        <v>920</v>
      </c>
      <c r="R3" s="119"/>
    </row>
    <row r="4" spans="1:38" customFormat="1" ht="19.649999999999999" customHeight="1" thickBot="1" x14ac:dyDescent="0.35">
      <c r="A4" s="37" t="s">
        <v>150</v>
      </c>
      <c r="B4" s="135"/>
      <c r="C4" s="135"/>
      <c r="D4" s="41"/>
      <c r="E4" s="119"/>
      <c r="F4" s="119"/>
      <c r="G4" s="119"/>
      <c r="H4" s="164"/>
      <c r="I4" s="164"/>
      <c r="J4" s="164"/>
      <c r="K4" s="133"/>
      <c r="L4" s="133"/>
      <c r="M4" s="133"/>
      <c r="N4" s="174"/>
      <c r="O4" s="175"/>
      <c r="P4" s="176"/>
      <c r="Q4" s="119"/>
      <c r="R4" s="119"/>
    </row>
    <row r="5" spans="1:38" customFormat="1" ht="19.649999999999999" customHeight="1" x14ac:dyDescent="0.3">
      <c r="A5" s="37" t="s">
        <v>151</v>
      </c>
      <c r="B5" s="148"/>
      <c r="C5" s="148"/>
      <c r="D5" s="42"/>
      <c r="E5" s="119"/>
      <c r="F5" s="119"/>
      <c r="G5" s="119"/>
      <c r="H5" s="164"/>
      <c r="I5" s="164"/>
      <c r="J5" s="164"/>
      <c r="K5" s="133"/>
      <c r="L5" s="133"/>
      <c r="M5" s="133"/>
      <c r="N5" s="177"/>
      <c r="O5" s="178"/>
      <c r="P5" s="179"/>
      <c r="Q5" s="119"/>
      <c r="R5" s="119"/>
      <c r="S5" s="167" t="s">
        <v>173</v>
      </c>
      <c r="T5" s="169" t="s">
        <v>147</v>
      </c>
      <c r="U5" s="169" t="s">
        <v>155</v>
      </c>
      <c r="V5" s="169" t="s">
        <v>156</v>
      </c>
      <c r="W5" s="169" t="s">
        <v>157</v>
      </c>
      <c r="X5" s="169" t="s">
        <v>158</v>
      </c>
      <c r="Y5" s="169" t="s">
        <v>159</v>
      </c>
      <c r="Z5" s="7"/>
      <c r="AA5" s="7"/>
      <c r="AB5" s="165" t="s">
        <v>160</v>
      </c>
      <c r="AC5" s="15"/>
      <c r="AL5" s="6"/>
    </row>
    <row r="6" spans="1:38" customFormat="1" ht="22.5" customHeight="1" thickBot="1" x14ac:dyDescent="0.35">
      <c r="A6" s="37" t="s">
        <v>152</v>
      </c>
      <c r="B6" s="120"/>
      <c r="C6" s="120"/>
      <c r="D6" s="39"/>
      <c r="E6" s="121" t="s">
        <v>991</v>
      </c>
      <c r="F6" s="121"/>
      <c r="G6" s="121"/>
      <c r="H6" s="122" t="s">
        <v>922</v>
      </c>
      <c r="I6" s="122"/>
      <c r="J6" s="122"/>
      <c r="K6" s="122">
        <f>COUNTIF(B18:B69,"On time")</f>
        <v>0</v>
      </c>
      <c r="L6" s="122"/>
      <c r="M6" s="122"/>
      <c r="N6" s="180">
        <f>COUNTIF(B33:B69,"Inprogress")</f>
        <v>37</v>
      </c>
      <c r="O6" s="181"/>
      <c r="P6" s="182"/>
      <c r="Q6" s="136" t="s">
        <v>1050</v>
      </c>
      <c r="R6" s="136"/>
      <c r="S6" s="168"/>
      <c r="T6" s="170"/>
      <c r="U6" s="170"/>
      <c r="V6" s="170"/>
      <c r="W6" s="170"/>
      <c r="X6" s="170"/>
      <c r="Y6" s="170"/>
      <c r="Z6" s="8"/>
      <c r="AA6" s="8"/>
      <c r="AB6" s="166"/>
      <c r="AC6" s="16"/>
    </row>
    <row r="7" spans="1:38" customFormat="1" ht="24.75" customHeight="1" x14ac:dyDescent="0.3">
      <c r="A7" s="38" t="s">
        <v>149</v>
      </c>
      <c r="B7" s="149"/>
      <c r="C7" s="149"/>
      <c r="D7" s="46"/>
      <c r="E7" s="121"/>
      <c r="F7" s="121"/>
      <c r="G7" s="121"/>
      <c r="H7" s="122"/>
      <c r="I7" s="122"/>
      <c r="J7" s="122"/>
      <c r="K7" s="122"/>
      <c r="L7" s="122"/>
      <c r="M7" s="122"/>
      <c r="N7" s="183"/>
      <c r="O7" s="184"/>
      <c r="P7" s="185"/>
      <c r="Q7" s="137">
        <v>0.45833333333333331</v>
      </c>
      <c r="R7" s="137"/>
      <c r="S7" s="17">
        <v>0</v>
      </c>
      <c r="T7" s="11">
        <v>0.05</v>
      </c>
      <c r="U7" s="11">
        <v>0.1</v>
      </c>
      <c r="V7" s="11">
        <v>0.15</v>
      </c>
      <c r="W7" s="11">
        <v>0.11</v>
      </c>
      <c r="X7" s="11">
        <v>0.2</v>
      </c>
      <c r="Y7" s="11">
        <v>0.24</v>
      </c>
      <c r="Z7" s="11">
        <v>0</v>
      </c>
      <c r="AA7" s="11">
        <v>0</v>
      </c>
      <c r="AB7" s="12">
        <v>0.15</v>
      </c>
      <c r="AC7" s="9" t="s">
        <v>171</v>
      </c>
    </row>
    <row r="8" spans="1:38" customFormat="1" ht="37.65" customHeight="1" thickBot="1" x14ac:dyDescent="0.35">
      <c r="A8" s="138" t="s">
        <v>957</v>
      </c>
      <c r="B8" s="138" t="s">
        <v>958</v>
      </c>
      <c r="C8" s="142" t="s">
        <v>959</v>
      </c>
      <c r="D8" s="142" t="s">
        <v>960</v>
      </c>
      <c r="E8" s="140" t="s">
        <v>975</v>
      </c>
      <c r="F8" s="140"/>
      <c r="G8" s="140" t="s">
        <v>974</v>
      </c>
      <c r="H8" s="140"/>
      <c r="I8" s="161" t="s">
        <v>973</v>
      </c>
      <c r="J8" s="162"/>
      <c r="K8" s="162"/>
      <c r="L8" s="162"/>
      <c r="M8" s="162"/>
      <c r="N8" s="162"/>
      <c r="O8" s="162"/>
      <c r="P8" s="163"/>
      <c r="Q8" s="154" t="s">
        <v>970</v>
      </c>
      <c r="R8" s="154" t="s">
        <v>971</v>
      </c>
      <c r="S8" s="18">
        <v>0.15</v>
      </c>
      <c r="T8" s="13">
        <v>0.05</v>
      </c>
      <c r="U8" s="13">
        <v>0.1</v>
      </c>
      <c r="V8" s="13">
        <v>0.15</v>
      </c>
      <c r="W8" s="13">
        <v>0.1</v>
      </c>
      <c r="X8" s="13">
        <v>0.15</v>
      </c>
      <c r="Y8" s="13">
        <v>0.15</v>
      </c>
      <c r="Z8" s="13">
        <v>0</v>
      </c>
      <c r="AA8" s="13">
        <v>0</v>
      </c>
      <c r="AB8" s="14">
        <v>0.15</v>
      </c>
      <c r="AC8" s="10" t="s">
        <v>172</v>
      </c>
    </row>
    <row r="9" spans="1:38" customFormat="1" ht="26.25" customHeight="1" thickBot="1" x14ac:dyDescent="0.35">
      <c r="A9" s="138"/>
      <c r="B9" s="138"/>
      <c r="C9" s="143"/>
      <c r="D9" s="143"/>
      <c r="E9" s="140"/>
      <c r="F9" s="140"/>
      <c r="G9" s="140"/>
      <c r="H9" s="140"/>
      <c r="I9" s="189" t="s">
        <v>964</v>
      </c>
      <c r="J9" s="155" t="s">
        <v>982</v>
      </c>
      <c r="K9" s="153" t="s">
        <v>965</v>
      </c>
      <c r="L9" s="153" t="s">
        <v>966</v>
      </c>
      <c r="M9" s="153" t="s">
        <v>967</v>
      </c>
      <c r="N9" s="153" t="s">
        <v>972</v>
      </c>
      <c r="O9" s="153" t="s">
        <v>968</v>
      </c>
      <c r="P9" s="153" t="s">
        <v>969</v>
      </c>
      <c r="Q9" s="154"/>
      <c r="R9" s="154"/>
      <c r="S9" s="2"/>
      <c r="T9" s="2"/>
      <c r="U9" s="2">
        <v>0.2</v>
      </c>
      <c r="V9" s="2">
        <v>0.3</v>
      </c>
      <c r="W9" s="2"/>
      <c r="X9" s="2"/>
      <c r="AB9" s="14">
        <v>0.5</v>
      </c>
      <c r="AC9" t="s">
        <v>919</v>
      </c>
    </row>
    <row r="10" spans="1:38" customFormat="1" ht="36.450000000000003" customHeight="1" x14ac:dyDescent="0.3">
      <c r="A10" s="138"/>
      <c r="B10" s="138"/>
      <c r="C10" s="143"/>
      <c r="D10" s="143"/>
      <c r="E10" s="145" t="s">
        <v>961</v>
      </c>
      <c r="F10" s="145" t="s">
        <v>962</v>
      </c>
      <c r="G10" s="145" t="s">
        <v>963</v>
      </c>
      <c r="H10" s="145" t="s">
        <v>962</v>
      </c>
      <c r="I10" s="189"/>
      <c r="J10" s="155"/>
      <c r="K10" s="153"/>
      <c r="L10" s="153"/>
      <c r="M10" s="153"/>
      <c r="N10" s="153"/>
      <c r="O10" s="153"/>
      <c r="P10" s="153"/>
      <c r="Q10" s="154"/>
      <c r="R10" s="154"/>
      <c r="T10" s="3"/>
      <c r="U10" s="3"/>
      <c r="V10" s="3"/>
      <c r="W10" s="3"/>
    </row>
    <row r="11" spans="1:38" customFormat="1" ht="40.5" customHeight="1" x14ac:dyDescent="0.3">
      <c r="A11" s="138"/>
      <c r="B11" s="138"/>
      <c r="C11" s="144"/>
      <c r="D11" s="144"/>
      <c r="E11" s="146"/>
      <c r="F11" s="146"/>
      <c r="G11" s="146"/>
      <c r="H11" s="146"/>
      <c r="I11" s="63">
        <v>0.15</v>
      </c>
      <c r="J11" s="63">
        <v>0.05</v>
      </c>
      <c r="K11" s="63">
        <v>0.1</v>
      </c>
      <c r="L11" s="63">
        <v>0.15</v>
      </c>
      <c r="M11" s="63">
        <v>0.1</v>
      </c>
      <c r="N11" s="63">
        <v>0.15</v>
      </c>
      <c r="O11" s="63">
        <v>0.15</v>
      </c>
      <c r="P11" s="63">
        <v>0.15</v>
      </c>
      <c r="Q11" s="66">
        <f>AVERAGE(Q18:Q69)</f>
        <v>0</v>
      </c>
      <c r="R11" s="67">
        <f>AVERAGE(R18:R69)</f>
        <v>0.01</v>
      </c>
      <c r="T11" s="3"/>
      <c r="U11" s="3"/>
      <c r="V11" s="3"/>
      <c r="W11" s="3"/>
    </row>
    <row r="12" spans="1:38" customFormat="1" ht="65.099999999999994" hidden="1" customHeight="1" x14ac:dyDescent="0.3">
      <c r="A12" s="29">
        <v>8218</v>
      </c>
      <c r="B12" s="30" t="str">
        <f t="shared" ref="B12:B17" si="0">IF(R12=1,"On time","Inprogress")</f>
        <v>On time</v>
      </c>
      <c r="C12" s="48" t="s">
        <v>1064</v>
      </c>
      <c r="D12" s="56" t="s">
        <v>993</v>
      </c>
      <c r="E12" s="50"/>
      <c r="F12" s="50" t="s">
        <v>994</v>
      </c>
      <c r="G12" s="50"/>
      <c r="H12" s="50" t="s">
        <v>955</v>
      </c>
      <c r="I12" s="54"/>
      <c r="J12" s="54">
        <v>1</v>
      </c>
      <c r="K12" s="54">
        <v>1</v>
      </c>
      <c r="L12" s="54">
        <v>1</v>
      </c>
      <c r="M12" s="54">
        <v>1</v>
      </c>
      <c r="N12" s="54">
        <v>1</v>
      </c>
      <c r="O12" s="54">
        <v>1</v>
      </c>
      <c r="P12" s="54">
        <v>1</v>
      </c>
      <c r="Q12" s="55">
        <f t="shared" ref="Q12:Q17" si="1">SUMPRODUCT($K$11:$P$11,K12:P12)/0.8</f>
        <v>1</v>
      </c>
      <c r="R12" s="55">
        <f>SUMPRODUCT($I$11:$P$11,I12:P12)+15%</f>
        <v>1</v>
      </c>
      <c r="S12" s="5"/>
      <c r="T12" s="33"/>
      <c r="V12" s="8"/>
      <c r="W12" s="19"/>
      <c r="X12" s="19"/>
    </row>
    <row r="13" spans="1:38" customFormat="1" ht="65.099999999999994" hidden="1" customHeight="1" x14ac:dyDescent="0.3">
      <c r="A13" s="77">
        <v>7765</v>
      </c>
      <c r="B13" s="30" t="str">
        <f t="shared" si="0"/>
        <v>On time</v>
      </c>
      <c r="C13" s="48" t="s">
        <v>1036</v>
      </c>
      <c r="D13" s="57" t="s">
        <v>993</v>
      </c>
      <c r="E13" s="50"/>
      <c r="F13" s="50" t="s">
        <v>750</v>
      </c>
      <c r="G13" s="50"/>
      <c r="H13" s="50" t="s">
        <v>750</v>
      </c>
      <c r="I13" s="54"/>
      <c r="J13" s="54"/>
      <c r="K13" s="54">
        <v>1</v>
      </c>
      <c r="L13" s="54">
        <v>1</v>
      </c>
      <c r="M13" s="54">
        <v>1</v>
      </c>
      <c r="N13" s="54">
        <v>1</v>
      </c>
      <c r="O13" s="54">
        <v>1</v>
      </c>
      <c r="P13" s="54">
        <v>1</v>
      </c>
      <c r="Q13" s="55">
        <f t="shared" si="1"/>
        <v>1</v>
      </c>
      <c r="R13" s="55">
        <f>SUMPRODUCT($I$11:$P$11,I13:P13)+20%</f>
        <v>1</v>
      </c>
      <c r="S13" s="5"/>
      <c r="V13" s="8"/>
      <c r="W13" s="19"/>
      <c r="X13" s="19"/>
    </row>
    <row r="14" spans="1:38" customFormat="1" ht="65.099999999999994" hidden="1" customHeight="1" x14ac:dyDescent="0.3">
      <c r="A14" s="77">
        <v>8055</v>
      </c>
      <c r="B14" s="30" t="str">
        <f t="shared" si="0"/>
        <v>On time</v>
      </c>
      <c r="C14" s="48" t="s">
        <v>1041</v>
      </c>
      <c r="D14" s="57" t="s">
        <v>964</v>
      </c>
      <c r="E14" s="50"/>
      <c r="F14" s="50"/>
      <c r="G14" s="50"/>
      <c r="H14" s="50"/>
      <c r="I14" s="54"/>
      <c r="J14" s="54"/>
      <c r="K14" s="54">
        <v>1</v>
      </c>
      <c r="L14" s="54">
        <v>1</v>
      </c>
      <c r="M14" s="54">
        <v>1</v>
      </c>
      <c r="N14" s="54">
        <v>1</v>
      </c>
      <c r="O14" s="54">
        <v>1</v>
      </c>
      <c r="P14" s="54">
        <v>1</v>
      </c>
      <c r="Q14" s="55">
        <f t="shared" si="1"/>
        <v>1</v>
      </c>
      <c r="R14" s="55">
        <f>SUMPRODUCT($I$11:$P$11,I14:P14)+20%</f>
        <v>1</v>
      </c>
      <c r="S14" s="5"/>
      <c r="V14" s="8"/>
      <c r="W14" s="19"/>
      <c r="X14" s="19"/>
    </row>
    <row r="15" spans="1:38" customFormat="1" ht="65.099999999999994" hidden="1" customHeight="1" x14ac:dyDescent="0.3">
      <c r="A15" s="29">
        <v>8167</v>
      </c>
      <c r="B15" s="30" t="str">
        <f t="shared" si="0"/>
        <v>Inprogress</v>
      </c>
      <c r="C15" s="48" t="s">
        <v>999</v>
      </c>
      <c r="D15" s="56" t="s">
        <v>964</v>
      </c>
      <c r="E15" s="50" t="s">
        <v>1000</v>
      </c>
      <c r="F15" s="50" t="s">
        <v>1001</v>
      </c>
      <c r="G15" s="50" t="s">
        <v>1000</v>
      </c>
      <c r="H15" s="50"/>
      <c r="I15" s="54">
        <v>1</v>
      </c>
      <c r="J15" s="54">
        <v>1</v>
      </c>
      <c r="K15" s="54">
        <v>0</v>
      </c>
      <c r="L15" s="54">
        <v>0</v>
      </c>
      <c r="M15" s="54">
        <v>0</v>
      </c>
      <c r="N15" s="54">
        <v>0</v>
      </c>
      <c r="O15" s="54">
        <v>0</v>
      </c>
      <c r="P15" s="54">
        <v>0</v>
      </c>
      <c r="Q15" s="55">
        <f t="shared" si="1"/>
        <v>0</v>
      </c>
      <c r="R15" s="55">
        <f>SUMPRODUCT($I$11:$P$11,I15:P15)</f>
        <v>0.2</v>
      </c>
      <c r="S15" s="5"/>
      <c r="V15" s="8"/>
      <c r="W15" s="19"/>
      <c r="X15" s="19"/>
    </row>
    <row r="16" spans="1:38" customFormat="1" ht="65.099999999999994" hidden="1" customHeight="1" x14ac:dyDescent="0.3">
      <c r="A16" s="29">
        <v>8166</v>
      </c>
      <c r="B16" s="30" t="str">
        <f t="shared" si="0"/>
        <v>Inprogress</v>
      </c>
      <c r="C16" s="48" t="s">
        <v>1002</v>
      </c>
      <c r="D16" s="56" t="s">
        <v>964</v>
      </c>
      <c r="E16" s="50" t="s">
        <v>1000</v>
      </c>
      <c r="F16" s="50" t="s">
        <v>1001</v>
      </c>
      <c r="G16" s="50" t="s">
        <v>1000</v>
      </c>
      <c r="H16" s="50"/>
      <c r="I16" s="54">
        <v>1</v>
      </c>
      <c r="J16" s="54">
        <v>1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5">
        <f t="shared" si="1"/>
        <v>0</v>
      </c>
      <c r="R16" s="55">
        <f>SUMPRODUCT($I$11:$P$11,I16:P16)</f>
        <v>0.2</v>
      </c>
      <c r="S16" s="5"/>
      <c r="V16" s="8"/>
      <c r="W16" s="19"/>
      <c r="X16" s="19"/>
    </row>
    <row r="17" spans="1:24" customFormat="1" ht="65.099999999999994" hidden="1" customHeight="1" x14ac:dyDescent="0.3">
      <c r="A17" s="78">
        <v>7876</v>
      </c>
      <c r="B17" s="30" t="str">
        <f t="shared" si="0"/>
        <v>Inprogress</v>
      </c>
      <c r="C17" s="48" t="s">
        <v>1051</v>
      </c>
      <c r="D17" s="57" t="s">
        <v>964</v>
      </c>
      <c r="E17" s="50"/>
      <c r="F17" s="50"/>
      <c r="G17" s="50"/>
      <c r="H17" s="50"/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55">
        <f t="shared" si="1"/>
        <v>0</v>
      </c>
      <c r="R17" s="55">
        <f>SUMPRODUCT($I$11:$P$11,I17:P17)</f>
        <v>0</v>
      </c>
      <c r="S17" s="5"/>
      <c r="V17" s="8"/>
      <c r="W17" s="19"/>
      <c r="X17" s="19"/>
    </row>
    <row r="18" spans="1:24" customFormat="1" ht="65.099999999999994" hidden="1" customHeight="1" x14ac:dyDescent="0.3">
      <c r="A18" s="29">
        <v>8340</v>
      </c>
      <c r="B18" s="30" t="str">
        <f t="shared" ref="B18:B40" si="2">IF(R18=1,"On time","Inprogress")</f>
        <v>Inprogress</v>
      </c>
      <c r="C18" s="48" t="s">
        <v>992</v>
      </c>
      <c r="D18" s="72" t="s">
        <v>993</v>
      </c>
      <c r="E18" s="50"/>
      <c r="F18" s="50" t="s">
        <v>1016</v>
      </c>
      <c r="G18" s="50"/>
      <c r="H18" s="50"/>
      <c r="I18" s="54"/>
      <c r="J18" s="54"/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4">
        <v>0</v>
      </c>
      <c r="Q18" s="55">
        <f t="shared" ref="Q18:Q36" si="3">SUMPRODUCT($K$11:$P$11,K18:P18)/0.8</f>
        <v>0</v>
      </c>
      <c r="R18" s="55">
        <f t="shared" ref="R18:R36" si="4">SUMPRODUCT($I$11:$P$11,I18:P18)</f>
        <v>0</v>
      </c>
      <c r="S18" s="5"/>
      <c r="V18" s="8"/>
      <c r="W18" s="19"/>
      <c r="X18" s="19"/>
    </row>
    <row r="19" spans="1:24" customFormat="1" ht="65.099999999999994" hidden="1" customHeight="1" x14ac:dyDescent="0.3">
      <c r="A19" s="29">
        <v>8171</v>
      </c>
      <c r="B19" s="30" t="str">
        <f t="shared" si="2"/>
        <v>Inprogress</v>
      </c>
      <c r="C19" s="57" t="s">
        <v>995</v>
      </c>
      <c r="D19" s="56" t="s">
        <v>964</v>
      </c>
      <c r="E19" s="50"/>
      <c r="F19" s="50"/>
      <c r="G19" s="50"/>
      <c r="H19" s="50"/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0</v>
      </c>
      <c r="P19" s="54">
        <v>0</v>
      </c>
      <c r="Q19" s="55">
        <f t="shared" si="3"/>
        <v>0</v>
      </c>
      <c r="R19" s="55">
        <f t="shared" si="4"/>
        <v>0</v>
      </c>
      <c r="S19" s="5"/>
      <c r="V19" s="8"/>
      <c r="W19" s="19"/>
      <c r="X19" s="19"/>
    </row>
    <row r="20" spans="1:24" customFormat="1" ht="64.5" hidden="1" customHeight="1" x14ac:dyDescent="0.3">
      <c r="A20" s="29">
        <v>8170</v>
      </c>
      <c r="B20" s="30" t="str">
        <f t="shared" si="2"/>
        <v>Inprogress</v>
      </c>
      <c r="C20" s="57" t="s">
        <v>996</v>
      </c>
      <c r="D20" s="56" t="s">
        <v>964</v>
      </c>
      <c r="E20" s="50"/>
      <c r="F20" s="50"/>
      <c r="G20" s="50"/>
      <c r="H20" s="50"/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5">
        <f t="shared" si="3"/>
        <v>0</v>
      </c>
      <c r="R20" s="55">
        <f t="shared" si="4"/>
        <v>0</v>
      </c>
      <c r="W20" s="4"/>
      <c r="X20" s="4"/>
    </row>
    <row r="21" spans="1:24" customFormat="1" ht="65.099999999999994" hidden="1" customHeight="1" x14ac:dyDescent="0.3">
      <c r="A21" s="29">
        <v>8169</v>
      </c>
      <c r="B21" s="30" t="str">
        <f t="shared" si="2"/>
        <v>Inprogress</v>
      </c>
      <c r="C21" s="48" t="s">
        <v>997</v>
      </c>
      <c r="D21" s="56" t="s">
        <v>964</v>
      </c>
      <c r="E21" s="50"/>
      <c r="F21" s="50"/>
      <c r="G21" s="50"/>
      <c r="H21" s="50"/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0</v>
      </c>
      <c r="P21" s="54">
        <v>0</v>
      </c>
      <c r="Q21" s="55">
        <f t="shared" si="3"/>
        <v>0</v>
      </c>
      <c r="R21" s="55">
        <f t="shared" si="4"/>
        <v>0</v>
      </c>
      <c r="S21" s="5"/>
      <c r="V21" s="8"/>
      <c r="W21" s="19"/>
      <c r="X21" s="19"/>
    </row>
    <row r="22" spans="1:24" s="33" customFormat="1" ht="65.099999999999994" hidden="1" customHeight="1" x14ac:dyDescent="0.3">
      <c r="A22" s="29">
        <v>8168</v>
      </c>
      <c r="B22" s="30" t="str">
        <f t="shared" si="2"/>
        <v>Inprogress</v>
      </c>
      <c r="C22" s="48" t="s">
        <v>998</v>
      </c>
      <c r="D22" s="56" t="s">
        <v>964</v>
      </c>
      <c r="E22" s="50"/>
      <c r="F22" s="50"/>
      <c r="G22" s="50"/>
      <c r="H22" s="50"/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0</v>
      </c>
      <c r="P22" s="54">
        <v>0</v>
      </c>
      <c r="Q22" s="55">
        <f t="shared" si="3"/>
        <v>0</v>
      </c>
      <c r="R22" s="55">
        <f t="shared" si="4"/>
        <v>0</v>
      </c>
      <c r="S22" s="32"/>
      <c r="V22" s="34"/>
      <c r="W22" s="35"/>
      <c r="X22" s="35"/>
    </row>
    <row r="23" spans="1:24" customFormat="1" ht="65.099999999999994" hidden="1" customHeight="1" x14ac:dyDescent="0.3">
      <c r="A23" s="68">
        <v>8165</v>
      </c>
      <c r="B23" s="30" t="str">
        <f t="shared" ref="B23:B32" si="5">IF(R23=1,"On time","Inprogress")</f>
        <v>Inprogress</v>
      </c>
      <c r="C23" s="48" t="s">
        <v>1009</v>
      </c>
      <c r="D23" s="56" t="s">
        <v>964</v>
      </c>
      <c r="E23" s="50"/>
      <c r="F23" s="50"/>
      <c r="G23" s="50"/>
      <c r="H23" s="50"/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0</v>
      </c>
      <c r="P23" s="54">
        <v>0</v>
      </c>
      <c r="Q23" s="55">
        <f>SUMPRODUCT($K$11:$P$11,K23:P23)/0.8</f>
        <v>0</v>
      </c>
      <c r="R23" s="55">
        <f t="shared" ref="R23:R35" si="6">SUMPRODUCT($I$11:$P$11,I23:P23)</f>
        <v>0</v>
      </c>
      <c r="S23" s="5"/>
      <c r="V23" s="8"/>
      <c r="W23" s="19"/>
      <c r="X23" s="19"/>
    </row>
    <row r="24" spans="1:24" customFormat="1" ht="65.099999999999994" hidden="1" customHeight="1" x14ac:dyDescent="0.3">
      <c r="A24" s="29">
        <v>8164</v>
      </c>
      <c r="B24" s="30" t="str">
        <f t="shared" si="5"/>
        <v>Inprogress</v>
      </c>
      <c r="C24" s="48" t="s">
        <v>1010</v>
      </c>
      <c r="D24" s="56" t="s">
        <v>964</v>
      </c>
      <c r="E24" s="50"/>
      <c r="F24" s="50"/>
      <c r="G24" s="50"/>
      <c r="H24" s="50"/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0</v>
      </c>
      <c r="P24" s="54">
        <v>0</v>
      </c>
      <c r="Q24" s="55">
        <f t="shared" ref="Q24" si="7">SUMPRODUCT($K$11:$P$11,K24:P24)/0.8</f>
        <v>0</v>
      </c>
      <c r="R24" s="55">
        <f t="shared" si="6"/>
        <v>0</v>
      </c>
      <c r="S24" s="5"/>
      <c r="V24" s="8"/>
      <c r="W24" s="19"/>
      <c r="X24" s="19"/>
    </row>
    <row r="25" spans="1:24" customFormat="1" ht="65.099999999999994" hidden="1" customHeight="1" x14ac:dyDescent="0.3">
      <c r="A25" s="69">
        <v>8142</v>
      </c>
      <c r="B25" s="30" t="str">
        <f t="shared" si="5"/>
        <v>Inprogress</v>
      </c>
      <c r="C25" s="48" t="s">
        <v>1003</v>
      </c>
      <c r="D25" s="56" t="s">
        <v>964</v>
      </c>
      <c r="E25" s="50"/>
      <c r="F25" s="50"/>
      <c r="G25" s="50"/>
      <c r="H25" s="50"/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0</v>
      </c>
      <c r="P25" s="54">
        <v>0</v>
      </c>
      <c r="Q25" s="55">
        <f t="shared" ref="Q25:Q29" si="8">SUMPRODUCT($K$11:$P$11,K25:P25)/0.8</f>
        <v>0</v>
      </c>
      <c r="R25" s="55">
        <f t="shared" si="6"/>
        <v>0</v>
      </c>
      <c r="S25" s="5"/>
      <c r="V25" s="8"/>
      <c r="W25" s="19"/>
      <c r="X25" s="19"/>
    </row>
    <row r="26" spans="1:24" customFormat="1" ht="65.099999999999994" hidden="1" customHeight="1" x14ac:dyDescent="0.3">
      <c r="A26" s="70">
        <v>8141</v>
      </c>
      <c r="B26" s="30" t="str">
        <f t="shared" si="5"/>
        <v>Inprogress</v>
      </c>
      <c r="C26" s="48" t="s">
        <v>1004</v>
      </c>
      <c r="D26" s="57" t="s">
        <v>993</v>
      </c>
      <c r="E26" s="50"/>
      <c r="F26" s="50"/>
      <c r="G26" s="50"/>
      <c r="H26" s="50"/>
      <c r="I26" s="54">
        <v>0</v>
      </c>
      <c r="J26" s="54">
        <v>0</v>
      </c>
      <c r="K26" s="54">
        <v>0</v>
      </c>
      <c r="L26" s="54">
        <v>0</v>
      </c>
      <c r="M26" s="54">
        <v>0</v>
      </c>
      <c r="N26" s="54">
        <v>0</v>
      </c>
      <c r="O26" s="54">
        <v>0</v>
      </c>
      <c r="P26" s="54">
        <v>0</v>
      </c>
      <c r="Q26" s="55">
        <f t="shared" si="8"/>
        <v>0</v>
      </c>
      <c r="R26" s="55">
        <f t="shared" si="6"/>
        <v>0</v>
      </c>
      <c r="S26" s="5"/>
      <c r="V26" s="8"/>
      <c r="W26" s="19"/>
      <c r="X26" s="19"/>
    </row>
    <row r="27" spans="1:24" customFormat="1" ht="65.099999999999994" hidden="1" customHeight="1" x14ac:dyDescent="0.3">
      <c r="A27" s="70">
        <v>8140</v>
      </c>
      <c r="B27" s="30" t="str">
        <f t="shared" si="5"/>
        <v>Inprogress</v>
      </c>
      <c r="C27" s="48" t="s">
        <v>1005</v>
      </c>
      <c r="D27" s="56" t="s">
        <v>964</v>
      </c>
      <c r="E27" s="50"/>
      <c r="F27" s="50"/>
      <c r="G27" s="50"/>
      <c r="H27" s="50"/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54">
        <v>0</v>
      </c>
      <c r="O27" s="54">
        <v>0</v>
      </c>
      <c r="P27" s="54">
        <v>0</v>
      </c>
      <c r="Q27" s="55">
        <f t="shared" si="8"/>
        <v>0</v>
      </c>
      <c r="R27" s="55">
        <f t="shared" si="6"/>
        <v>0</v>
      </c>
      <c r="S27" s="5"/>
      <c r="V27" s="8"/>
      <c r="W27" s="19"/>
      <c r="X27" s="19"/>
    </row>
    <row r="28" spans="1:24" customFormat="1" ht="64.5" hidden="1" customHeight="1" x14ac:dyDescent="0.3">
      <c r="A28" s="29">
        <v>8139</v>
      </c>
      <c r="B28" s="30" t="str">
        <f t="shared" si="5"/>
        <v>Inprogress</v>
      </c>
      <c r="C28" s="48" t="s">
        <v>1006</v>
      </c>
      <c r="D28" s="56" t="s">
        <v>964</v>
      </c>
      <c r="E28" s="50"/>
      <c r="F28" s="50"/>
      <c r="G28" s="50"/>
      <c r="H28" s="50"/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54">
        <v>0</v>
      </c>
      <c r="P28" s="54">
        <v>0</v>
      </c>
      <c r="Q28" s="55">
        <f t="shared" si="8"/>
        <v>0</v>
      </c>
      <c r="R28" s="55">
        <f t="shared" si="6"/>
        <v>0</v>
      </c>
      <c r="S28" s="5"/>
      <c r="V28" s="8"/>
      <c r="W28" s="19"/>
      <c r="X28" s="19"/>
    </row>
    <row r="29" spans="1:24" customFormat="1" ht="65.099999999999994" hidden="1" customHeight="1" x14ac:dyDescent="0.3">
      <c r="A29" s="71">
        <v>8137</v>
      </c>
      <c r="B29" s="30" t="str">
        <f t="shared" si="5"/>
        <v>Inprogress</v>
      </c>
      <c r="C29" s="48" t="s">
        <v>1008</v>
      </c>
      <c r="D29" s="56" t="s">
        <v>964</v>
      </c>
      <c r="E29" s="50"/>
      <c r="F29" s="50"/>
      <c r="G29" s="50"/>
      <c r="H29" s="50"/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0</v>
      </c>
      <c r="P29" s="54">
        <v>0</v>
      </c>
      <c r="Q29" s="55">
        <f t="shared" si="8"/>
        <v>0</v>
      </c>
      <c r="R29" s="55">
        <f t="shared" si="6"/>
        <v>0</v>
      </c>
      <c r="S29" s="5"/>
      <c r="V29" s="8"/>
      <c r="W29" s="19"/>
      <c r="X29" s="19"/>
    </row>
    <row r="30" spans="1:24" customFormat="1" ht="65.099999999999994" hidden="1" customHeight="1" x14ac:dyDescent="0.3">
      <c r="A30" s="70">
        <v>7867</v>
      </c>
      <c r="B30" s="30" t="str">
        <f t="shared" si="5"/>
        <v>Inprogress</v>
      </c>
      <c r="C30" s="48" t="s">
        <v>1020</v>
      </c>
      <c r="D30" s="56" t="s">
        <v>964</v>
      </c>
      <c r="E30" s="50"/>
      <c r="F30" s="50"/>
      <c r="G30" s="50"/>
      <c r="H30" s="50"/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4">
        <v>0</v>
      </c>
      <c r="O30" s="54">
        <v>0</v>
      </c>
      <c r="P30" s="54">
        <v>0</v>
      </c>
      <c r="Q30" s="55">
        <f t="shared" ref="Q30" si="9">SUMPRODUCT($K$11:$P$11,K30:P30)/0.8</f>
        <v>0</v>
      </c>
      <c r="R30" s="55">
        <f t="shared" si="6"/>
        <v>0</v>
      </c>
      <c r="S30" s="5"/>
      <c r="V30" s="8"/>
      <c r="W30" s="19"/>
      <c r="X30" s="19"/>
    </row>
    <row r="31" spans="1:24" customFormat="1" ht="65.099999999999994" hidden="1" customHeight="1" x14ac:dyDescent="0.3">
      <c r="A31" s="69">
        <v>7866</v>
      </c>
      <c r="B31" s="30" t="str">
        <f t="shared" si="5"/>
        <v>Inprogress</v>
      </c>
      <c r="C31" s="48" t="s">
        <v>1021</v>
      </c>
      <c r="D31" s="56" t="s">
        <v>964</v>
      </c>
      <c r="E31" s="50"/>
      <c r="F31" s="50"/>
      <c r="G31" s="50"/>
      <c r="H31" s="50"/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4">
        <v>0</v>
      </c>
      <c r="O31" s="54">
        <v>0</v>
      </c>
      <c r="P31" s="54">
        <v>0</v>
      </c>
      <c r="Q31" s="55">
        <f>SUMPRODUCT($K$11:$P$11,K31:P31)/0.8</f>
        <v>0</v>
      </c>
      <c r="R31" s="55">
        <f t="shared" si="6"/>
        <v>0</v>
      </c>
      <c r="S31" s="5"/>
      <c r="V31" s="8"/>
      <c r="W31" s="19"/>
      <c r="X31" s="19"/>
    </row>
    <row r="32" spans="1:24" customFormat="1" ht="59.7" hidden="1" customHeight="1" x14ac:dyDescent="0.3">
      <c r="A32" s="68">
        <v>7865</v>
      </c>
      <c r="B32" s="30" t="str">
        <f t="shared" si="5"/>
        <v>Inprogress</v>
      </c>
      <c r="C32" s="48" t="s">
        <v>1022</v>
      </c>
      <c r="D32" s="56" t="s">
        <v>964</v>
      </c>
      <c r="E32" s="50"/>
      <c r="F32" s="50"/>
      <c r="G32" s="50"/>
      <c r="H32" s="50"/>
      <c r="I32" s="54">
        <v>0</v>
      </c>
      <c r="J32" s="54">
        <v>0</v>
      </c>
      <c r="K32" s="54">
        <v>0</v>
      </c>
      <c r="L32" s="54">
        <v>0</v>
      </c>
      <c r="M32" s="54">
        <v>0</v>
      </c>
      <c r="N32" s="54">
        <v>0</v>
      </c>
      <c r="O32" s="54">
        <v>0</v>
      </c>
      <c r="P32" s="54">
        <v>0</v>
      </c>
      <c r="Q32" s="55">
        <f>SUMPRODUCT($K$11:$P$11,K32:P32)/0.8</f>
        <v>0</v>
      </c>
      <c r="R32" s="55">
        <f t="shared" si="6"/>
        <v>0</v>
      </c>
      <c r="S32" s="5"/>
      <c r="V32" s="8"/>
      <c r="W32" s="19"/>
      <c r="X32" s="19"/>
    </row>
    <row r="33" spans="1:24" customFormat="1" ht="64.5" hidden="1" customHeight="1" x14ac:dyDescent="0.3">
      <c r="A33" s="77">
        <v>7864</v>
      </c>
      <c r="B33" s="30" t="str">
        <f t="shared" ref="B33:B34" si="10">IF(R33=1,"On time","Inprogress")</f>
        <v>Inprogress</v>
      </c>
      <c r="C33" s="48" t="s">
        <v>1023</v>
      </c>
      <c r="D33" s="56" t="s">
        <v>964</v>
      </c>
      <c r="E33" s="50"/>
      <c r="F33" s="50"/>
      <c r="G33" s="50"/>
      <c r="H33" s="50"/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4">
        <v>0</v>
      </c>
      <c r="O33" s="54">
        <v>0</v>
      </c>
      <c r="P33" s="54">
        <v>0</v>
      </c>
      <c r="Q33" s="55">
        <f>SUMPRODUCT($K$11:$P$11,K33:P33)/0.8</f>
        <v>0</v>
      </c>
      <c r="R33" s="55">
        <f t="shared" si="6"/>
        <v>0</v>
      </c>
      <c r="S33" s="5"/>
      <c r="V33" s="8"/>
      <c r="W33" s="19"/>
      <c r="X33" s="19"/>
    </row>
    <row r="34" spans="1:24" customFormat="1" ht="65.099999999999994" hidden="1" customHeight="1" x14ac:dyDescent="0.3">
      <c r="A34" s="29">
        <v>7862</v>
      </c>
      <c r="B34" s="30" t="str">
        <f t="shared" si="10"/>
        <v>Inprogress</v>
      </c>
      <c r="C34" s="57" t="s">
        <v>1024</v>
      </c>
      <c r="D34" s="56" t="s">
        <v>964</v>
      </c>
      <c r="E34" s="50" t="s">
        <v>1000</v>
      </c>
      <c r="F34" s="50" t="s">
        <v>1001</v>
      </c>
      <c r="G34" s="50" t="s">
        <v>1000</v>
      </c>
      <c r="H34" s="50"/>
      <c r="I34" s="54">
        <v>1</v>
      </c>
      <c r="J34" s="54">
        <v>1</v>
      </c>
      <c r="K34" s="54">
        <v>0</v>
      </c>
      <c r="L34" s="54">
        <v>0</v>
      </c>
      <c r="M34" s="54">
        <v>0</v>
      </c>
      <c r="N34" s="54">
        <v>0</v>
      </c>
      <c r="O34" s="54">
        <v>0</v>
      </c>
      <c r="P34" s="54">
        <v>0</v>
      </c>
      <c r="Q34" s="55">
        <f>SUMPRODUCT($K$11:$P$11,K34:P34)/0.8</f>
        <v>0</v>
      </c>
      <c r="R34" s="55">
        <f t="shared" si="6"/>
        <v>0.2</v>
      </c>
      <c r="W34" s="4"/>
      <c r="X34" s="4"/>
    </row>
    <row r="35" spans="1:24" customFormat="1" ht="65.099999999999994" hidden="1" customHeight="1" x14ac:dyDescent="0.3">
      <c r="A35" s="69">
        <v>7860</v>
      </c>
      <c r="B35" s="30" t="str">
        <f t="shared" ref="B35" si="11">IF(R35=1,"On time","Inprogress")</f>
        <v>Inprogress</v>
      </c>
      <c r="C35" s="48" t="s">
        <v>1025</v>
      </c>
      <c r="D35" s="57" t="s">
        <v>964</v>
      </c>
      <c r="E35" s="50"/>
      <c r="F35" s="50"/>
      <c r="G35" s="50"/>
      <c r="H35" s="50"/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4">
        <v>0</v>
      </c>
      <c r="P35" s="54">
        <v>0</v>
      </c>
      <c r="Q35" s="55">
        <f>SUMPRODUCT($K$11:$P$11,K35:P35)/0.8</f>
        <v>0</v>
      </c>
      <c r="R35" s="55">
        <f t="shared" si="6"/>
        <v>0</v>
      </c>
      <c r="S35" s="5"/>
      <c r="V35" s="8"/>
      <c r="W35" s="19"/>
      <c r="X35" s="19"/>
    </row>
    <row r="36" spans="1:24" customFormat="1" ht="65.099999999999994" hidden="1" customHeight="1" x14ac:dyDescent="0.3">
      <c r="A36" s="29">
        <v>7858</v>
      </c>
      <c r="B36" s="30" t="str">
        <f t="shared" si="2"/>
        <v>Inprogress</v>
      </c>
      <c r="C36" s="48" t="s">
        <v>1026</v>
      </c>
      <c r="D36" s="57" t="s">
        <v>964</v>
      </c>
      <c r="E36" s="50"/>
      <c r="F36" s="50"/>
      <c r="G36" s="50"/>
      <c r="H36" s="50"/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>
        <v>0</v>
      </c>
      <c r="O36" s="54">
        <v>0</v>
      </c>
      <c r="P36" s="54">
        <v>0</v>
      </c>
      <c r="Q36" s="55">
        <f t="shared" si="3"/>
        <v>0</v>
      </c>
      <c r="R36" s="55">
        <f t="shared" si="4"/>
        <v>0</v>
      </c>
      <c r="S36" s="5"/>
      <c r="V36" s="8"/>
      <c r="W36" s="19"/>
      <c r="X36" s="19"/>
    </row>
    <row r="37" spans="1:24" customFormat="1" ht="65.099999999999994" customHeight="1" x14ac:dyDescent="0.3">
      <c r="A37" s="77">
        <v>7856</v>
      </c>
      <c r="B37" s="30" t="str">
        <f t="shared" si="2"/>
        <v>Inprogress</v>
      </c>
      <c r="C37" s="48" t="s">
        <v>1027</v>
      </c>
      <c r="D37" s="57" t="s">
        <v>964</v>
      </c>
      <c r="E37" s="50"/>
      <c r="F37" s="50"/>
      <c r="G37" s="50"/>
      <c r="H37" s="50"/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4">
        <v>0</v>
      </c>
      <c r="P37" s="54">
        <v>0</v>
      </c>
      <c r="Q37" s="55">
        <f t="shared" ref="Q37:Q41" si="12">SUMPRODUCT($K$11:$P$11,K37:P37)/0.8</f>
        <v>0</v>
      </c>
      <c r="R37" s="55">
        <f t="shared" ref="R37:R41" si="13">SUMPRODUCT($I$11:$P$11,I37:P37)</f>
        <v>0</v>
      </c>
      <c r="S37" s="5"/>
      <c r="V37" s="8"/>
      <c r="W37" s="19"/>
      <c r="X37" s="19"/>
    </row>
    <row r="38" spans="1:24" customFormat="1" ht="65.099999999999994" hidden="1" customHeight="1" x14ac:dyDescent="0.3">
      <c r="A38" s="77">
        <v>7855</v>
      </c>
      <c r="B38" s="30" t="str">
        <f t="shared" si="2"/>
        <v>Inprogress</v>
      </c>
      <c r="C38" s="48" t="s">
        <v>1028</v>
      </c>
      <c r="D38" s="57" t="s">
        <v>964</v>
      </c>
      <c r="E38" s="50"/>
      <c r="F38" s="50"/>
      <c r="G38" s="50"/>
      <c r="H38" s="50"/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4">
        <v>0</v>
      </c>
      <c r="O38" s="54">
        <v>0</v>
      </c>
      <c r="P38" s="54">
        <v>0</v>
      </c>
      <c r="Q38" s="55">
        <f t="shared" si="12"/>
        <v>0</v>
      </c>
      <c r="R38" s="55">
        <f t="shared" si="13"/>
        <v>0</v>
      </c>
      <c r="S38" s="5"/>
      <c r="V38" s="8"/>
      <c r="W38" s="19"/>
      <c r="X38" s="19"/>
    </row>
    <row r="39" spans="1:24" customFormat="1" ht="65.099999999999994" hidden="1" customHeight="1" x14ac:dyDescent="0.3">
      <c r="A39" s="77">
        <v>7854</v>
      </c>
      <c r="B39" s="30" t="str">
        <f t="shared" si="2"/>
        <v>Inprogress</v>
      </c>
      <c r="C39" s="48" t="s">
        <v>1029</v>
      </c>
      <c r="D39" s="57" t="s">
        <v>964</v>
      </c>
      <c r="E39" s="50"/>
      <c r="F39" s="50"/>
      <c r="G39" s="50"/>
      <c r="H39" s="50"/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4">
        <v>0</v>
      </c>
      <c r="P39" s="54">
        <v>0</v>
      </c>
      <c r="Q39" s="55">
        <f t="shared" si="12"/>
        <v>0</v>
      </c>
      <c r="R39" s="55">
        <f t="shared" si="13"/>
        <v>0</v>
      </c>
      <c r="S39" s="5"/>
      <c r="V39" s="8"/>
      <c r="W39" s="19"/>
      <c r="X39" s="19"/>
    </row>
    <row r="40" spans="1:24" customFormat="1" ht="65.099999999999994" hidden="1" customHeight="1" x14ac:dyDescent="0.3">
      <c r="A40" s="77">
        <v>7853</v>
      </c>
      <c r="B40" s="30" t="str">
        <f t="shared" si="2"/>
        <v>Inprogress</v>
      </c>
      <c r="C40" s="48" t="s">
        <v>1030</v>
      </c>
      <c r="D40" s="57" t="s">
        <v>964</v>
      </c>
      <c r="E40" s="50"/>
      <c r="F40" s="50"/>
      <c r="G40" s="50"/>
      <c r="H40" s="50"/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4">
        <v>0</v>
      </c>
      <c r="O40" s="54">
        <v>0</v>
      </c>
      <c r="P40" s="54">
        <v>0</v>
      </c>
      <c r="Q40" s="55">
        <f t="shared" si="12"/>
        <v>0</v>
      </c>
      <c r="R40" s="55">
        <f t="shared" si="13"/>
        <v>0</v>
      </c>
      <c r="S40" s="5"/>
      <c r="V40" s="8"/>
      <c r="W40" s="19"/>
      <c r="X40" s="19"/>
    </row>
    <row r="41" spans="1:24" customFormat="1" ht="65.099999999999994" hidden="1" customHeight="1" x14ac:dyDescent="0.3">
      <c r="A41" s="77">
        <v>7852</v>
      </c>
      <c r="B41" s="30" t="str">
        <f t="shared" ref="B41:B69" si="14">IF(R41=1,"On time","Inprogress")</f>
        <v>Inprogress</v>
      </c>
      <c r="C41" s="48" t="s">
        <v>1031</v>
      </c>
      <c r="D41" s="57" t="s">
        <v>964</v>
      </c>
      <c r="E41" s="50"/>
      <c r="F41" s="50"/>
      <c r="G41" s="50"/>
      <c r="H41" s="50"/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0</v>
      </c>
      <c r="P41" s="54">
        <v>0</v>
      </c>
      <c r="Q41" s="55">
        <f t="shared" si="12"/>
        <v>0</v>
      </c>
      <c r="R41" s="55">
        <f t="shared" si="13"/>
        <v>0</v>
      </c>
      <c r="S41" s="5"/>
      <c r="V41" s="8"/>
      <c r="W41" s="19"/>
      <c r="X41" s="19"/>
    </row>
    <row r="42" spans="1:24" customFormat="1" ht="65.099999999999994" hidden="1" customHeight="1" x14ac:dyDescent="0.3">
      <c r="A42" s="77">
        <v>7851</v>
      </c>
      <c r="B42" s="30" t="str">
        <f t="shared" si="14"/>
        <v>Inprogress</v>
      </c>
      <c r="C42" s="48" t="s">
        <v>1032</v>
      </c>
      <c r="D42" s="57" t="s">
        <v>993</v>
      </c>
      <c r="E42" s="50"/>
      <c r="F42" s="50"/>
      <c r="G42" s="50"/>
      <c r="H42" s="50"/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4">
        <v>0</v>
      </c>
      <c r="O42" s="54">
        <v>0</v>
      </c>
      <c r="P42" s="54">
        <v>0</v>
      </c>
      <c r="Q42" s="55">
        <f t="shared" ref="Q42:Q69" si="15">SUMPRODUCT($K$11:$P$11,K42:P42)/0.8</f>
        <v>0</v>
      </c>
      <c r="R42" s="55">
        <f t="shared" ref="R42:R69" si="16">SUMPRODUCT($I$11:$P$11,I42:P42)</f>
        <v>0</v>
      </c>
      <c r="S42" s="5"/>
      <c r="V42" s="8"/>
      <c r="W42" s="19"/>
      <c r="X42" s="19"/>
    </row>
    <row r="43" spans="1:24" customFormat="1" ht="65.099999999999994" hidden="1" customHeight="1" x14ac:dyDescent="0.3">
      <c r="A43" s="77">
        <v>7850</v>
      </c>
      <c r="B43" s="30" t="str">
        <f t="shared" si="14"/>
        <v>Inprogress</v>
      </c>
      <c r="C43" s="48" t="s">
        <v>1033</v>
      </c>
      <c r="D43" s="57" t="s">
        <v>964</v>
      </c>
      <c r="E43" s="50"/>
      <c r="F43" s="50"/>
      <c r="G43" s="50"/>
      <c r="H43" s="50"/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4">
        <v>0</v>
      </c>
      <c r="O43" s="54">
        <v>0</v>
      </c>
      <c r="P43" s="54">
        <v>0</v>
      </c>
      <c r="Q43" s="55">
        <f t="shared" si="15"/>
        <v>0</v>
      </c>
      <c r="R43" s="55">
        <f t="shared" si="16"/>
        <v>0</v>
      </c>
      <c r="S43" s="5"/>
      <c r="V43" s="8"/>
      <c r="W43" s="19"/>
      <c r="X43" s="19"/>
    </row>
    <row r="44" spans="1:24" customFormat="1" ht="65.099999999999994" hidden="1" customHeight="1" x14ac:dyDescent="0.3">
      <c r="A44" s="77">
        <v>7848</v>
      </c>
      <c r="B44" s="30" t="str">
        <f t="shared" si="14"/>
        <v>Inprogress</v>
      </c>
      <c r="C44" s="48" t="s">
        <v>1033</v>
      </c>
      <c r="D44" s="57" t="s">
        <v>964</v>
      </c>
      <c r="E44" s="50"/>
      <c r="F44" s="50"/>
      <c r="G44" s="50"/>
      <c r="H44" s="50"/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4">
        <v>0</v>
      </c>
      <c r="O44" s="54">
        <v>0</v>
      </c>
      <c r="P44" s="54">
        <v>0</v>
      </c>
      <c r="Q44" s="55">
        <f t="shared" si="15"/>
        <v>0</v>
      </c>
      <c r="R44" s="55">
        <f t="shared" si="16"/>
        <v>0</v>
      </c>
      <c r="S44" s="5"/>
      <c r="V44" s="8"/>
      <c r="W44" s="19"/>
      <c r="X44" s="19"/>
    </row>
    <row r="45" spans="1:24" customFormat="1" ht="65.099999999999994" hidden="1" customHeight="1" x14ac:dyDescent="0.3">
      <c r="A45" s="77">
        <v>7847</v>
      </c>
      <c r="B45" s="30" t="str">
        <f t="shared" si="14"/>
        <v>Inprogress</v>
      </c>
      <c r="C45" s="48" t="s">
        <v>1034</v>
      </c>
      <c r="D45" s="57" t="s">
        <v>964</v>
      </c>
      <c r="E45" s="50"/>
      <c r="F45" s="50"/>
      <c r="G45" s="50"/>
      <c r="H45" s="50"/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4">
        <v>0</v>
      </c>
      <c r="O45" s="54">
        <v>0</v>
      </c>
      <c r="P45" s="54">
        <v>0</v>
      </c>
      <c r="Q45" s="55">
        <f t="shared" si="15"/>
        <v>0</v>
      </c>
      <c r="R45" s="55">
        <f t="shared" si="16"/>
        <v>0</v>
      </c>
      <c r="S45" s="5"/>
      <c r="V45" s="8"/>
      <c r="W45" s="19"/>
      <c r="X45" s="19"/>
    </row>
    <row r="46" spans="1:24" customFormat="1" ht="65.099999999999994" hidden="1" customHeight="1" x14ac:dyDescent="0.3">
      <c r="A46" s="77">
        <v>7846</v>
      </c>
      <c r="B46" s="30" t="str">
        <f t="shared" si="14"/>
        <v>Inprogress</v>
      </c>
      <c r="C46" s="48" t="s">
        <v>1035</v>
      </c>
      <c r="D46" s="57" t="s">
        <v>964</v>
      </c>
      <c r="E46" s="50"/>
      <c r="F46" s="50"/>
      <c r="G46" s="50"/>
      <c r="H46" s="50"/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0</v>
      </c>
      <c r="O46" s="54">
        <v>0</v>
      </c>
      <c r="P46" s="54">
        <v>0</v>
      </c>
      <c r="Q46" s="55">
        <f t="shared" si="15"/>
        <v>0</v>
      </c>
      <c r="R46" s="55">
        <f t="shared" si="16"/>
        <v>0</v>
      </c>
      <c r="S46" s="5"/>
      <c r="V46" s="8"/>
      <c r="W46" s="19"/>
      <c r="X46" s="19"/>
    </row>
    <row r="47" spans="1:24" customFormat="1" ht="65.099999999999994" hidden="1" customHeight="1" x14ac:dyDescent="0.3">
      <c r="A47" s="77">
        <v>8061</v>
      </c>
      <c r="B47" s="30" t="str">
        <f t="shared" si="14"/>
        <v>Inprogress</v>
      </c>
      <c r="C47" s="48" t="s">
        <v>1037</v>
      </c>
      <c r="D47" s="57" t="s">
        <v>993</v>
      </c>
      <c r="E47" s="50"/>
      <c r="F47" s="50" t="s">
        <v>952</v>
      </c>
      <c r="G47" s="50"/>
      <c r="H47" s="50"/>
      <c r="I47" s="54"/>
      <c r="J47" s="54"/>
      <c r="K47" s="54">
        <v>0</v>
      </c>
      <c r="L47" s="54">
        <v>0</v>
      </c>
      <c r="M47" s="54">
        <v>0</v>
      </c>
      <c r="N47" s="54">
        <v>0</v>
      </c>
      <c r="O47" s="54">
        <v>0</v>
      </c>
      <c r="P47" s="54">
        <v>0</v>
      </c>
      <c r="Q47" s="55">
        <f t="shared" si="15"/>
        <v>0</v>
      </c>
      <c r="R47" s="55">
        <f t="shared" si="16"/>
        <v>0</v>
      </c>
      <c r="S47" s="5"/>
      <c r="V47" s="8"/>
      <c r="W47" s="19"/>
      <c r="X47" s="19"/>
    </row>
    <row r="48" spans="1:24" customFormat="1" ht="65.099999999999994" hidden="1" customHeight="1" x14ac:dyDescent="0.3">
      <c r="A48" s="77">
        <v>8060</v>
      </c>
      <c r="B48" s="30" t="str">
        <f t="shared" si="14"/>
        <v>Inprogress</v>
      </c>
      <c r="C48" s="48" t="s">
        <v>1038</v>
      </c>
      <c r="D48" s="57" t="s">
        <v>993</v>
      </c>
      <c r="E48" s="50"/>
      <c r="F48" s="50"/>
      <c r="G48" s="50"/>
      <c r="H48" s="50"/>
      <c r="I48" s="54"/>
      <c r="J48" s="54">
        <v>0</v>
      </c>
      <c r="K48" s="54">
        <v>0</v>
      </c>
      <c r="L48" s="54">
        <v>0</v>
      </c>
      <c r="M48" s="54">
        <v>0</v>
      </c>
      <c r="N48" s="54">
        <v>0</v>
      </c>
      <c r="O48" s="54">
        <v>0</v>
      </c>
      <c r="P48" s="54">
        <v>0</v>
      </c>
      <c r="Q48" s="55">
        <f t="shared" si="15"/>
        <v>0</v>
      </c>
      <c r="R48" s="55">
        <f t="shared" si="16"/>
        <v>0</v>
      </c>
      <c r="S48" s="5"/>
      <c r="V48" s="8"/>
      <c r="W48" s="19"/>
      <c r="X48" s="19"/>
    </row>
    <row r="49" spans="1:24" customFormat="1" ht="65.099999999999994" hidden="1" customHeight="1" x14ac:dyDescent="0.3">
      <c r="A49" s="77">
        <v>8058</v>
      </c>
      <c r="B49" s="30" t="str">
        <f t="shared" si="14"/>
        <v>Inprogress</v>
      </c>
      <c r="C49" s="48" t="s">
        <v>1039</v>
      </c>
      <c r="D49" s="57" t="s">
        <v>964</v>
      </c>
      <c r="E49" s="50"/>
      <c r="F49" s="50"/>
      <c r="G49" s="50"/>
      <c r="H49" s="50"/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4">
        <v>0</v>
      </c>
      <c r="O49" s="54">
        <v>0</v>
      </c>
      <c r="P49" s="54">
        <v>0</v>
      </c>
      <c r="Q49" s="55">
        <f t="shared" si="15"/>
        <v>0</v>
      </c>
      <c r="R49" s="55">
        <f t="shared" si="16"/>
        <v>0</v>
      </c>
      <c r="S49" s="5"/>
      <c r="V49" s="8"/>
      <c r="W49" s="19"/>
      <c r="X49" s="19"/>
    </row>
    <row r="50" spans="1:24" customFormat="1" ht="65.099999999999994" hidden="1" customHeight="1" x14ac:dyDescent="0.3">
      <c r="A50" s="77">
        <v>8057</v>
      </c>
      <c r="B50" s="30" t="str">
        <f t="shared" si="14"/>
        <v>Inprogress</v>
      </c>
      <c r="C50" s="48" t="s">
        <v>1040</v>
      </c>
      <c r="D50" s="57" t="s">
        <v>964</v>
      </c>
      <c r="E50" s="50"/>
      <c r="F50" s="50"/>
      <c r="G50" s="50"/>
      <c r="H50" s="50"/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4">
        <v>0</v>
      </c>
      <c r="O50" s="54">
        <v>0</v>
      </c>
      <c r="P50" s="54">
        <v>0</v>
      </c>
      <c r="Q50" s="55">
        <f t="shared" si="15"/>
        <v>0</v>
      </c>
      <c r="R50" s="55">
        <f t="shared" si="16"/>
        <v>0</v>
      </c>
      <c r="S50" s="5"/>
      <c r="V50" s="8"/>
      <c r="W50" s="19"/>
      <c r="X50" s="19"/>
    </row>
    <row r="51" spans="1:24" customFormat="1" ht="65.099999999999994" hidden="1" customHeight="1" x14ac:dyDescent="0.3">
      <c r="A51" s="77">
        <v>7845</v>
      </c>
      <c r="B51" s="30" t="str">
        <f t="shared" si="14"/>
        <v>Inprogress</v>
      </c>
      <c r="C51" s="48" t="s">
        <v>1042</v>
      </c>
      <c r="D51" s="57" t="s">
        <v>964</v>
      </c>
      <c r="E51" s="50"/>
      <c r="F51" s="50"/>
      <c r="G51" s="50"/>
      <c r="H51" s="50"/>
      <c r="I51" s="54">
        <v>1</v>
      </c>
      <c r="J51" s="54">
        <v>0</v>
      </c>
      <c r="K51" s="54">
        <v>0</v>
      </c>
      <c r="L51" s="54">
        <v>0</v>
      </c>
      <c r="M51" s="54">
        <v>0</v>
      </c>
      <c r="N51" s="54">
        <v>0</v>
      </c>
      <c r="O51" s="54">
        <v>0</v>
      </c>
      <c r="P51" s="54">
        <v>0</v>
      </c>
      <c r="Q51" s="55">
        <f t="shared" ref="Q51" si="17">SUMPRODUCT($K$11:$P$11,K51:P51)/0.8</f>
        <v>0</v>
      </c>
      <c r="R51" s="55">
        <f t="shared" ref="R51" si="18">SUMPRODUCT($I$11:$P$11,I51:P51)</f>
        <v>0.15</v>
      </c>
      <c r="S51" s="5"/>
      <c r="V51" s="8"/>
      <c r="W51" s="19"/>
      <c r="X51" s="19"/>
    </row>
    <row r="52" spans="1:24" customFormat="1" ht="65.099999999999994" hidden="1" customHeight="1" x14ac:dyDescent="0.3">
      <c r="A52" s="77">
        <v>8048</v>
      </c>
      <c r="B52" s="30" t="str">
        <f t="shared" si="14"/>
        <v>Inprogress</v>
      </c>
      <c r="C52" s="48" t="s">
        <v>1063</v>
      </c>
      <c r="D52" s="57" t="s">
        <v>964</v>
      </c>
      <c r="E52" s="50"/>
      <c r="F52" s="50"/>
      <c r="G52" s="50" t="s">
        <v>1065</v>
      </c>
      <c r="H52" s="50"/>
      <c r="I52" s="54">
        <v>1</v>
      </c>
      <c r="J52" s="54">
        <v>1</v>
      </c>
      <c r="K52" s="54">
        <v>0</v>
      </c>
      <c r="L52" s="54">
        <v>0</v>
      </c>
      <c r="M52" s="54">
        <v>0</v>
      </c>
      <c r="N52" s="54">
        <v>0</v>
      </c>
      <c r="O52" s="54">
        <v>0</v>
      </c>
      <c r="P52" s="54">
        <v>0</v>
      </c>
      <c r="Q52" s="55"/>
      <c r="R52" s="55"/>
      <c r="S52" s="5"/>
      <c r="V52" s="8"/>
      <c r="W52" s="19"/>
      <c r="X52" s="19"/>
    </row>
    <row r="53" spans="1:24" customFormat="1" ht="65.099999999999994" hidden="1" customHeight="1" x14ac:dyDescent="0.3">
      <c r="A53" s="77">
        <v>8047</v>
      </c>
      <c r="B53" s="30" t="str">
        <f t="shared" si="14"/>
        <v>Inprogress</v>
      </c>
      <c r="C53" s="48" t="s">
        <v>1061</v>
      </c>
      <c r="D53" s="57" t="s">
        <v>964</v>
      </c>
      <c r="E53" s="50"/>
      <c r="F53" s="50"/>
      <c r="G53" s="50"/>
      <c r="H53" s="50"/>
      <c r="I53" s="54">
        <v>0</v>
      </c>
      <c r="J53" s="54">
        <v>0</v>
      </c>
      <c r="K53" s="54">
        <v>0</v>
      </c>
      <c r="L53" s="54">
        <v>0</v>
      </c>
      <c r="M53" s="54">
        <v>0</v>
      </c>
      <c r="N53" s="54">
        <v>0</v>
      </c>
      <c r="O53" s="54">
        <v>0</v>
      </c>
      <c r="P53" s="54">
        <v>0</v>
      </c>
      <c r="Q53" s="55"/>
      <c r="R53" s="55"/>
      <c r="S53" s="5"/>
      <c r="V53" s="8"/>
      <c r="W53" s="19"/>
      <c r="X53" s="19"/>
    </row>
    <row r="54" spans="1:24" customFormat="1" ht="65.099999999999994" hidden="1" customHeight="1" x14ac:dyDescent="0.3">
      <c r="A54" s="77">
        <v>8046</v>
      </c>
      <c r="B54" s="30" t="str">
        <f t="shared" si="14"/>
        <v>Inprogress</v>
      </c>
      <c r="C54" s="48" t="s">
        <v>1062</v>
      </c>
      <c r="D54" s="57" t="s">
        <v>964</v>
      </c>
      <c r="E54" s="50"/>
      <c r="F54" s="50"/>
      <c r="G54" s="50"/>
      <c r="H54" s="50"/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0</v>
      </c>
      <c r="P54" s="54">
        <v>0</v>
      </c>
      <c r="Q54" s="55"/>
      <c r="R54" s="55"/>
      <c r="S54" s="5"/>
      <c r="V54" s="8"/>
      <c r="W54" s="19"/>
      <c r="X54" s="19"/>
    </row>
    <row r="55" spans="1:24" customFormat="1" ht="65.099999999999994" hidden="1" customHeight="1" x14ac:dyDescent="0.3">
      <c r="A55" s="77">
        <v>8045</v>
      </c>
      <c r="B55" s="30" t="str">
        <f t="shared" si="14"/>
        <v>Inprogress</v>
      </c>
      <c r="C55" s="48" t="s">
        <v>1060</v>
      </c>
      <c r="D55" s="57" t="s">
        <v>964</v>
      </c>
      <c r="E55" s="50"/>
      <c r="F55" s="50"/>
      <c r="G55" s="50"/>
      <c r="H55" s="50"/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0</v>
      </c>
      <c r="P55" s="54">
        <v>0</v>
      </c>
      <c r="Q55" s="55"/>
      <c r="R55" s="55"/>
      <c r="S55" s="5"/>
      <c r="V55" s="8"/>
      <c r="W55" s="19"/>
      <c r="X55" s="19"/>
    </row>
    <row r="56" spans="1:24" customFormat="1" ht="65.099999999999994" hidden="1" customHeight="1" x14ac:dyDescent="0.3">
      <c r="A56" s="77">
        <v>8044</v>
      </c>
      <c r="B56" s="30" t="str">
        <f t="shared" si="14"/>
        <v>Inprogress</v>
      </c>
      <c r="C56" s="48" t="s">
        <v>1059</v>
      </c>
      <c r="D56" s="57" t="s">
        <v>964</v>
      </c>
      <c r="E56" s="50" t="s">
        <v>956</v>
      </c>
      <c r="F56" s="50" t="s">
        <v>953</v>
      </c>
      <c r="G56" s="50" t="s">
        <v>956</v>
      </c>
      <c r="H56" s="50"/>
      <c r="I56" s="54">
        <v>1</v>
      </c>
      <c r="J56" s="54">
        <v>1</v>
      </c>
      <c r="K56" s="54">
        <v>1</v>
      </c>
      <c r="L56" s="54">
        <v>1</v>
      </c>
      <c r="M56" s="54">
        <v>1</v>
      </c>
      <c r="N56" s="54">
        <v>1</v>
      </c>
      <c r="O56" s="54">
        <v>1</v>
      </c>
      <c r="P56" s="54">
        <v>1</v>
      </c>
      <c r="Q56" s="55"/>
      <c r="R56" s="55"/>
      <c r="S56" s="5"/>
      <c r="V56" s="8"/>
      <c r="W56" s="19"/>
      <c r="X56" s="19"/>
    </row>
    <row r="57" spans="1:24" customFormat="1" ht="65.099999999999994" hidden="1" customHeight="1" x14ac:dyDescent="0.3">
      <c r="A57" s="77">
        <v>8043</v>
      </c>
      <c r="B57" s="30" t="str">
        <f t="shared" si="14"/>
        <v>Inprogress</v>
      </c>
      <c r="C57" s="48" t="s">
        <v>1058</v>
      </c>
      <c r="D57" s="57" t="s">
        <v>964</v>
      </c>
      <c r="E57" s="50"/>
      <c r="F57" s="50"/>
      <c r="G57" s="50"/>
      <c r="H57" s="50"/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>
        <v>0</v>
      </c>
      <c r="O57" s="54">
        <v>0</v>
      </c>
      <c r="P57" s="54">
        <v>0</v>
      </c>
      <c r="Q57" s="55"/>
      <c r="R57" s="55"/>
      <c r="S57" s="5"/>
      <c r="V57" s="8"/>
      <c r="W57" s="19"/>
      <c r="X57" s="19"/>
    </row>
    <row r="58" spans="1:24" customFormat="1" ht="65.099999999999994" hidden="1" customHeight="1" x14ac:dyDescent="0.3">
      <c r="A58" s="77">
        <v>7890</v>
      </c>
      <c r="B58" s="30" t="str">
        <f t="shared" si="14"/>
        <v>Inprogress</v>
      </c>
      <c r="C58" s="48" t="s">
        <v>1043</v>
      </c>
      <c r="D58" s="57" t="s">
        <v>964</v>
      </c>
      <c r="E58" s="50"/>
      <c r="F58" s="50"/>
      <c r="G58" s="50"/>
      <c r="H58" s="50"/>
      <c r="I58" s="54">
        <v>0</v>
      </c>
      <c r="J58" s="54">
        <v>0</v>
      </c>
      <c r="K58" s="54">
        <v>0</v>
      </c>
      <c r="L58" s="54">
        <v>0</v>
      </c>
      <c r="M58" s="54">
        <v>0</v>
      </c>
      <c r="N58" s="54">
        <v>0</v>
      </c>
      <c r="O58" s="54">
        <v>0</v>
      </c>
      <c r="P58" s="54">
        <v>0</v>
      </c>
      <c r="Q58" s="55"/>
      <c r="R58" s="55"/>
      <c r="S58" s="5"/>
      <c r="V58" s="8"/>
      <c r="W58" s="19"/>
      <c r="X58" s="19"/>
    </row>
    <row r="59" spans="1:24" customFormat="1" ht="65.099999999999994" hidden="1" customHeight="1" x14ac:dyDescent="0.3">
      <c r="A59" s="77">
        <v>7889</v>
      </c>
      <c r="B59" s="30" t="str">
        <f t="shared" si="14"/>
        <v>Inprogress</v>
      </c>
      <c r="C59" s="48" t="s">
        <v>1044</v>
      </c>
      <c r="D59" s="57" t="s">
        <v>964</v>
      </c>
      <c r="E59" s="50"/>
      <c r="F59" s="24"/>
      <c r="G59" s="50"/>
      <c r="H59" s="50"/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4">
        <v>0</v>
      </c>
      <c r="O59" s="54">
        <v>0</v>
      </c>
      <c r="P59" s="54">
        <v>0</v>
      </c>
      <c r="Q59" s="55"/>
      <c r="R59" s="55"/>
      <c r="S59" s="5"/>
      <c r="V59" s="8"/>
      <c r="W59" s="19"/>
      <c r="X59" s="19"/>
    </row>
    <row r="60" spans="1:24" customFormat="1" ht="65.099999999999994" hidden="1" customHeight="1" x14ac:dyDescent="0.3">
      <c r="A60" s="77">
        <v>7888</v>
      </c>
      <c r="B60" s="30" t="str">
        <f t="shared" si="14"/>
        <v>Inprogress</v>
      </c>
      <c r="C60" s="48" t="s">
        <v>1045</v>
      </c>
      <c r="D60" s="57" t="s">
        <v>964</v>
      </c>
      <c r="E60" s="50" t="s">
        <v>1067</v>
      </c>
      <c r="F60" s="50" t="s">
        <v>1067</v>
      </c>
      <c r="G60" s="50" t="s">
        <v>1066</v>
      </c>
      <c r="H60" s="50" t="s">
        <v>1067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5"/>
      <c r="R60" s="55"/>
      <c r="S60" s="5"/>
      <c r="V60" s="8"/>
      <c r="W60" s="19"/>
      <c r="X60" s="19"/>
    </row>
    <row r="61" spans="1:24" customFormat="1" ht="65.099999999999994" hidden="1" customHeight="1" x14ac:dyDescent="0.3">
      <c r="A61" s="77">
        <v>7887</v>
      </c>
      <c r="B61" s="30" t="str">
        <f t="shared" si="14"/>
        <v>Inprogress</v>
      </c>
      <c r="C61" s="48" t="s">
        <v>1046</v>
      </c>
      <c r="D61" s="57" t="s">
        <v>993</v>
      </c>
      <c r="E61" s="50"/>
      <c r="F61" s="50"/>
      <c r="G61" s="50"/>
      <c r="H61" s="50"/>
      <c r="I61" s="54"/>
      <c r="J61" s="54"/>
      <c r="K61" s="54">
        <v>0</v>
      </c>
      <c r="L61" s="54">
        <v>0</v>
      </c>
      <c r="M61" s="54">
        <v>0</v>
      </c>
      <c r="N61" s="54">
        <v>0</v>
      </c>
      <c r="O61" s="54">
        <v>0</v>
      </c>
      <c r="P61" s="54">
        <v>0</v>
      </c>
      <c r="Q61" s="55"/>
      <c r="R61" s="55"/>
      <c r="S61" s="5"/>
      <c r="V61" s="8"/>
      <c r="W61" s="19"/>
      <c r="X61" s="19"/>
    </row>
    <row r="62" spans="1:24" customFormat="1" ht="65.099999999999994" hidden="1" customHeight="1" x14ac:dyDescent="0.3">
      <c r="A62" s="77">
        <v>7886</v>
      </c>
      <c r="B62" s="30" t="str">
        <f t="shared" si="14"/>
        <v>Inprogress</v>
      </c>
      <c r="C62" s="48" t="s">
        <v>1047</v>
      </c>
      <c r="D62" s="57" t="s">
        <v>964</v>
      </c>
      <c r="E62" s="50"/>
      <c r="F62" s="50"/>
      <c r="G62" s="50"/>
      <c r="H62" s="50"/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0</v>
      </c>
      <c r="P62" s="54">
        <v>0</v>
      </c>
      <c r="Q62" s="55"/>
      <c r="R62" s="55"/>
      <c r="S62" s="5"/>
      <c r="V62" s="8"/>
      <c r="W62" s="19"/>
      <c r="X62" s="19"/>
    </row>
    <row r="63" spans="1:24" customFormat="1" ht="65.099999999999994" hidden="1" customHeight="1" x14ac:dyDescent="0.3">
      <c r="A63" s="77">
        <v>7885</v>
      </c>
      <c r="B63" s="30" t="str">
        <f t="shared" si="14"/>
        <v>Inprogress</v>
      </c>
      <c r="C63" s="48" t="s">
        <v>1048</v>
      </c>
      <c r="D63" s="57" t="s">
        <v>964</v>
      </c>
      <c r="E63" s="50"/>
      <c r="F63" s="50"/>
      <c r="G63" s="50"/>
      <c r="H63" s="50"/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54">
        <v>0</v>
      </c>
      <c r="Q63" s="55"/>
      <c r="R63" s="55"/>
      <c r="S63" s="5"/>
      <c r="V63" s="8"/>
      <c r="W63" s="19"/>
      <c r="X63" s="19"/>
    </row>
    <row r="64" spans="1:24" customFormat="1" ht="65.099999999999994" hidden="1" customHeight="1" x14ac:dyDescent="0.3">
      <c r="A64" s="77">
        <v>8189</v>
      </c>
      <c r="B64" s="30" t="str">
        <f t="shared" si="14"/>
        <v>Inprogress</v>
      </c>
      <c r="C64" s="48" t="s">
        <v>1052</v>
      </c>
      <c r="D64" s="57" t="s">
        <v>964</v>
      </c>
      <c r="E64" s="50"/>
      <c r="F64" s="50"/>
      <c r="G64" s="50"/>
      <c r="H64" s="50"/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5"/>
      <c r="R64" s="55"/>
      <c r="S64" s="5"/>
      <c r="V64" s="8"/>
      <c r="W64" s="19"/>
      <c r="X64" s="19"/>
    </row>
    <row r="65" spans="1:24" customFormat="1" ht="65.099999999999994" hidden="1" customHeight="1" x14ac:dyDescent="0.3">
      <c r="A65" s="77">
        <v>8188</v>
      </c>
      <c r="B65" s="30" t="str">
        <f t="shared" si="14"/>
        <v>Inprogress</v>
      </c>
      <c r="C65" s="48" t="s">
        <v>1053</v>
      </c>
      <c r="D65" s="57" t="s">
        <v>964</v>
      </c>
      <c r="E65" s="50"/>
      <c r="F65" s="50"/>
      <c r="G65" s="50"/>
      <c r="H65" s="50"/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5"/>
      <c r="R65" s="55"/>
      <c r="S65" s="5"/>
      <c r="V65" s="8"/>
      <c r="W65" s="19"/>
      <c r="X65" s="19"/>
    </row>
    <row r="66" spans="1:24" customFormat="1" ht="65.099999999999994" hidden="1" customHeight="1" x14ac:dyDescent="0.3">
      <c r="A66" s="77">
        <v>8187</v>
      </c>
      <c r="B66" s="30" t="str">
        <f t="shared" si="14"/>
        <v>Inprogress</v>
      </c>
      <c r="C66" s="48" t="s">
        <v>1054</v>
      </c>
      <c r="D66" s="57" t="s">
        <v>964</v>
      </c>
      <c r="E66" s="50"/>
      <c r="F66" s="50"/>
      <c r="G66" s="50"/>
      <c r="H66" s="50"/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4">
        <v>0</v>
      </c>
      <c r="O66" s="54">
        <v>0</v>
      </c>
      <c r="P66" s="54">
        <v>0</v>
      </c>
      <c r="Q66" s="55"/>
      <c r="R66" s="55"/>
      <c r="S66" s="5"/>
      <c r="V66" s="8"/>
      <c r="W66" s="19"/>
      <c r="X66" s="19"/>
    </row>
    <row r="67" spans="1:24" customFormat="1" ht="65.099999999999994" hidden="1" customHeight="1" x14ac:dyDescent="0.3">
      <c r="A67" s="77">
        <v>8186</v>
      </c>
      <c r="B67" s="30" t="str">
        <f t="shared" si="14"/>
        <v>Inprogress</v>
      </c>
      <c r="C67" s="48" t="s">
        <v>1055</v>
      </c>
      <c r="D67" s="57" t="s">
        <v>964</v>
      </c>
      <c r="E67" s="50"/>
      <c r="F67" s="50"/>
      <c r="G67" s="50"/>
      <c r="H67" s="50"/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4">
        <v>0</v>
      </c>
      <c r="O67" s="54">
        <v>0</v>
      </c>
      <c r="P67" s="54">
        <v>0</v>
      </c>
      <c r="Q67" s="55"/>
      <c r="R67" s="55"/>
      <c r="S67" s="5"/>
      <c r="V67" s="8"/>
      <c r="W67" s="19"/>
      <c r="X67" s="19"/>
    </row>
    <row r="68" spans="1:24" customFormat="1" ht="65.099999999999994" hidden="1" customHeight="1" x14ac:dyDescent="0.3">
      <c r="A68" s="77">
        <v>8185</v>
      </c>
      <c r="B68" s="30" t="str">
        <f t="shared" si="14"/>
        <v>Inprogress</v>
      </c>
      <c r="C68" s="48" t="s">
        <v>1056</v>
      </c>
      <c r="D68" s="57" t="s">
        <v>964</v>
      </c>
      <c r="E68" s="50"/>
      <c r="F68" s="50"/>
      <c r="G68" s="50"/>
      <c r="H68" s="50"/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54">
        <v>0</v>
      </c>
      <c r="Q68" s="55"/>
      <c r="R68" s="55"/>
      <c r="S68" s="5"/>
      <c r="V68" s="8"/>
      <c r="W68" s="19"/>
      <c r="X68" s="19"/>
    </row>
    <row r="69" spans="1:24" customFormat="1" ht="65.099999999999994" hidden="1" customHeight="1" x14ac:dyDescent="0.3">
      <c r="A69" s="77">
        <v>8184</v>
      </c>
      <c r="B69" s="30" t="str">
        <f t="shared" si="14"/>
        <v>Inprogress</v>
      </c>
      <c r="C69" s="48" t="s">
        <v>1057</v>
      </c>
      <c r="D69" s="57" t="s">
        <v>964</v>
      </c>
      <c r="E69" s="50"/>
      <c r="F69" s="50"/>
      <c r="G69" s="50"/>
      <c r="H69" s="50"/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5">
        <f t="shared" si="15"/>
        <v>0</v>
      </c>
      <c r="R69" s="55">
        <f t="shared" si="16"/>
        <v>0</v>
      </c>
      <c r="S69" s="5"/>
      <c r="V69" s="8"/>
      <c r="W69" s="19"/>
      <c r="X69" s="19"/>
    </row>
    <row r="70" spans="1:24" x14ac:dyDescent="0.3">
      <c r="F70" s="25"/>
      <c r="G70" s="25"/>
    </row>
    <row r="71" spans="1:24" x14ac:dyDescent="0.3">
      <c r="F71" s="25"/>
      <c r="G71" s="25"/>
    </row>
    <row r="72" spans="1:24" x14ac:dyDescent="0.3">
      <c r="F72" s="25"/>
      <c r="G72" s="25"/>
    </row>
    <row r="73" spans="1:24" x14ac:dyDescent="0.3">
      <c r="F73" s="25"/>
      <c r="G73" s="25"/>
    </row>
    <row r="74" spans="1:24" x14ac:dyDescent="0.3">
      <c r="F74" s="25"/>
      <c r="G74" s="25"/>
    </row>
    <row r="75" spans="1:24" x14ac:dyDescent="0.3">
      <c r="F75" s="25"/>
      <c r="G75" s="25"/>
    </row>
    <row r="76" spans="1:24" x14ac:dyDescent="0.3">
      <c r="F76" s="25"/>
      <c r="G76" s="25"/>
    </row>
    <row r="77" spans="1:24" x14ac:dyDescent="0.3">
      <c r="F77" s="25"/>
      <c r="G77" s="25"/>
    </row>
    <row r="78" spans="1:24" x14ac:dyDescent="0.3">
      <c r="F78" s="25"/>
      <c r="G78" s="25"/>
    </row>
    <row r="79" spans="1:24" x14ac:dyDescent="0.3">
      <c r="F79" s="25"/>
      <c r="G79" s="25"/>
    </row>
    <row r="80" spans="1:24" x14ac:dyDescent="0.3">
      <c r="F80" s="25"/>
      <c r="G80" s="25"/>
    </row>
    <row r="81" spans="5:9" x14ac:dyDescent="0.3">
      <c r="F81" s="25"/>
      <c r="G81" s="25"/>
    </row>
    <row r="82" spans="5:9" x14ac:dyDescent="0.3">
      <c r="F82" s="25"/>
      <c r="G82" s="25"/>
    </row>
    <row r="83" spans="5:9" x14ac:dyDescent="0.3">
      <c r="F83" s="25"/>
      <c r="G83" s="25"/>
    </row>
    <row r="84" spans="5:9" x14ac:dyDescent="0.3">
      <c r="F84" s="25"/>
      <c r="G84" s="25"/>
    </row>
    <row r="85" spans="5:9" x14ac:dyDescent="0.3">
      <c r="F85" s="25"/>
      <c r="G85" s="25"/>
    </row>
    <row r="86" spans="5:9" x14ac:dyDescent="0.3">
      <c r="F86" s="25"/>
      <c r="G86" s="25"/>
    </row>
    <row r="87" spans="5:9" x14ac:dyDescent="0.3">
      <c r="F87" s="25"/>
      <c r="G87" s="25"/>
    </row>
    <row r="88" spans="5:9" x14ac:dyDescent="0.3">
      <c r="F88" s="25"/>
      <c r="G88" s="25"/>
    </row>
    <row r="89" spans="5:9" x14ac:dyDescent="0.3">
      <c r="F89" s="25"/>
      <c r="G89" s="25"/>
    </row>
    <row r="90" spans="5:9" x14ac:dyDescent="0.3">
      <c r="E90" s="24" t="s">
        <v>926</v>
      </c>
      <c r="F90" s="25" t="s">
        <v>931</v>
      </c>
      <c r="G90" s="25" t="e">
        <f ca="1">[1]!s2m(E90)</f>
        <v>#NAME?</v>
      </c>
      <c r="H90" s="24" t="e">
        <f ca="1">[1]!s2m(F90)</f>
        <v>#NAME?</v>
      </c>
      <c r="I90" s="45" t="e">
        <f t="shared" ref="I90:I106" ca="1" si="19">H90-TODAY()</f>
        <v>#NAME?</v>
      </c>
    </row>
    <row r="91" spans="5:9" x14ac:dyDescent="0.3">
      <c r="E91" s="24" t="s">
        <v>926</v>
      </c>
      <c r="F91" s="24" t="s">
        <v>931</v>
      </c>
      <c r="G91" s="25" t="e">
        <f ca="1">[1]!s2m(E91)</f>
        <v>#NAME?</v>
      </c>
      <c r="H91" s="24" t="e">
        <f ca="1">[1]!s2m(F91)</f>
        <v>#NAME?</v>
      </c>
      <c r="I91" s="45" t="e">
        <f t="shared" ca="1" si="19"/>
        <v>#NAME?</v>
      </c>
    </row>
    <row r="92" spans="5:9" x14ac:dyDescent="0.3">
      <c r="E92" s="24" t="s">
        <v>927</v>
      </c>
      <c r="F92" s="24" t="s">
        <v>932</v>
      </c>
      <c r="G92" s="25" t="e">
        <f ca="1">[1]!s2m(E92)</f>
        <v>#NAME?</v>
      </c>
      <c r="H92" s="24" t="e">
        <f ca="1">[1]!s2m(F92)</f>
        <v>#NAME?</v>
      </c>
      <c r="I92" s="45" t="e">
        <f t="shared" ca="1" si="19"/>
        <v>#NAME?</v>
      </c>
    </row>
    <row r="93" spans="5:9" x14ac:dyDescent="0.3">
      <c r="E93" s="24" t="s">
        <v>925</v>
      </c>
      <c r="F93" s="24" t="s">
        <v>933</v>
      </c>
      <c r="G93" s="25" t="e">
        <f ca="1">[1]!s2m(E93)</f>
        <v>#NAME?</v>
      </c>
      <c r="H93" s="24" t="e">
        <f ca="1">[1]!s2m(F93)</f>
        <v>#NAME?</v>
      </c>
      <c r="I93" s="45" t="e">
        <f t="shared" ca="1" si="19"/>
        <v>#NAME?</v>
      </c>
    </row>
    <row r="94" spans="5:9" x14ac:dyDescent="0.3">
      <c r="E94" s="24" t="s">
        <v>928</v>
      </c>
      <c r="F94" s="24" t="s">
        <v>934</v>
      </c>
      <c r="G94" s="25" t="e">
        <f ca="1">[1]!s2m(E94)</f>
        <v>#NAME?</v>
      </c>
      <c r="H94" s="24" t="e">
        <f ca="1">[1]!s2m(F94)</f>
        <v>#NAME?</v>
      </c>
      <c r="I94" s="45" t="e">
        <f t="shared" ca="1" si="19"/>
        <v>#NAME?</v>
      </c>
    </row>
    <row r="95" spans="5:9" x14ac:dyDescent="0.3">
      <c r="E95" s="24" t="s">
        <v>929</v>
      </c>
      <c r="F95" s="24" t="s">
        <v>935</v>
      </c>
      <c r="G95" s="25" t="e">
        <f ca="1">[1]!s2m(E95)</f>
        <v>#NAME?</v>
      </c>
      <c r="H95" s="24" t="e">
        <f ca="1">[1]!s2m(F95)</f>
        <v>#NAME?</v>
      </c>
      <c r="I95" s="45" t="e">
        <f t="shared" ca="1" si="19"/>
        <v>#NAME?</v>
      </c>
    </row>
    <row r="96" spans="5:9" x14ac:dyDescent="0.3">
      <c r="E96" s="24" t="s">
        <v>930</v>
      </c>
      <c r="F96" s="24" t="s">
        <v>936</v>
      </c>
      <c r="G96" s="25" t="e">
        <f ca="1">[1]!s2m(E96)</f>
        <v>#NAME?</v>
      </c>
      <c r="H96" s="24" t="e">
        <f ca="1">[1]!s2m(F96)</f>
        <v>#NAME?</v>
      </c>
      <c r="I96" s="45" t="e">
        <f t="shared" ca="1" si="19"/>
        <v>#NAME?</v>
      </c>
    </row>
    <row r="97" spans="5:9" x14ac:dyDescent="0.3">
      <c r="E97" s="24" t="s">
        <v>937</v>
      </c>
      <c r="F97" s="24" t="s">
        <v>944</v>
      </c>
      <c r="G97" s="25" t="e">
        <f ca="1">[1]!s2m(E97)</f>
        <v>#NAME?</v>
      </c>
      <c r="H97" s="24" t="e">
        <f ca="1">[1]!s2m(F97)</f>
        <v>#NAME?</v>
      </c>
      <c r="I97" s="45" t="e">
        <f t="shared" ca="1" si="19"/>
        <v>#NAME?</v>
      </c>
    </row>
    <row r="98" spans="5:9" x14ac:dyDescent="0.3">
      <c r="E98" s="24" t="s">
        <v>938</v>
      </c>
      <c r="F98" s="24" t="s">
        <v>945</v>
      </c>
      <c r="G98" s="25" t="e">
        <f ca="1">[1]!s2m(E98)</f>
        <v>#NAME?</v>
      </c>
      <c r="H98" s="24" t="e">
        <f ca="1">[1]!s2m(F98)</f>
        <v>#NAME?</v>
      </c>
      <c r="I98" s="45" t="e">
        <f t="shared" ca="1" si="19"/>
        <v>#NAME?</v>
      </c>
    </row>
    <row r="99" spans="5:9" x14ac:dyDescent="0.3">
      <c r="E99" s="24" t="s">
        <v>681</v>
      </c>
      <c r="F99" s="24" t="s">
        <v>946</v>
      </c>
      <c r="G99" s="25" t="e">
        <f ca="1">[1]!s2m(E99)</f>
        <v>#NAME?</v>
      </c>
      <c r="H99" s="24" t="e">
        <f ca="1">[1]!s2m(F99)</f>
        <v>#NAME?</v>
      </c>
      <c r="I99" s="45" t="e">
        <f t="shared" ca="1" si="19"/>
        <v>#NAME?</v>
      </c>
    </row>
    <row r="100" spans="5:9" x14ac:dyDescent="0.3">
      <c r="E100" s="24" t="s">
        <v>939</v>
      </c>
      <c r="F100" s="24" t="s">
        <v>947</v>
      </c>
      <c r="G100" s="25" t="e">
        <f ca="1">[1]!s2m(E100)</f>
        <v>#NAME?</v>
      </c>
      <c r="H100" s="24" t="e">
        <f ca="1">[1]!s2m(F100)</f>
        <v>#NAME?</v>
      </c>
      <c r="I100" s="45" t="e">
        <f t="shared" ca="1" si="19"/>
        <v>#NAME?</v>
      </c>
    </row>
    <row r="101" spans="5:9" x14ac:dyDescent="0.3">
      <c r="E101" s="24" t="s">
        <v>940</v>
      </c>
      <c r="F101" s="24" t="s">
        <v>948</v>
      </c>
      <c r="G101" s="25" t="e">
        <f ca="1">[1]!s2m(E101)</f>
        <v>#NAME?</v>
      </c>
      <c r="H101" s="24" t="e">
        <f ca="1">[1]!s2m(F101)</f>
        <v>#NAME?</v>
      </c>
      <c r="I101" s="45" t="e">
        <f t="shared" ca="1" si="19"/>
        <v>#NAME?</v>
      </c>
    </row>
    <row r="102" spans="5:9" x14ac:dyDescent="0.3">
      <c r="E102" s="24" t="s">
        <v>941</v>
      </c>
      <c r="F102" s="24" t="s">
        <v>949</v>
      </c>
      <c r="G102" s="25" t="e">
        <f ca="1">[1]!s2m(E102)</f>
        <v>#NAME?</v>
      </c>
      <c r="H102" s="24" t="e">
        <f ca="1">[1]!s2m(F102)</f>
        <v>#NAME?</v>
      </c>
      <c r="I102" s="45" t="e">
        <f t="shared" ca="1" si="19"/>
        <v>#NAME?</v>
      </c>
    </row>
    <row r="103" spans="5:9" x14ac:dyDescent="0.3">
      <c r="E103" s="24" t="s">
        <v>942</v>
      </c>
      <c r="F103" s="24" t="s">
        <v>950</v>
      </c>
      <c r="G103" s="25" t="e">
        <f ca="1">[1]!s2m(E103)</f>
        <v>#NAME?</v>
      </c>
      <c r="H103" s="24" t="e">
        <f ca="1">[1]!s2m(F103)</f>
        <v>#NAME?</v>
      </c>
      <c r="I103" s="45" t="e">
        <f t="shared" ca="1" si="19"/>
        <v>#NAME?</v>
      </c>
    </row>
    <row r="104" spans="5:9" x14ac:dyDescent="0.3">
      <c r="E104" s="24" t="s">
        <v>943</v>
      </c>
      <c r="F104" s="24" t="s">
        <v>951</v>
      </c>
      <c r="G104" s="25" t="e">
        <f ca="1">[1]!s2m(E104)</f>
        <v>#NAME?</v>
      </c>
      <c r="H104" s="24" t="e">
        <f ca="1">[1]!s2m(F104)</f>
        <v>#NAME?</v>
      </c>
      <c r="I104" s="45" t="e">
        <f t="shared" ca="1" si="19"/>
        <v>#NAME?</v>
      </c>
    </row>
    <row r="105" spans="5:9" x14ac:dyDescent="0.3">
      <c r="E105" s="24" t="s">
        <v>939</v>
      </c>
      <c r="F105" s="24" t="s">
        <v>947</v>
      </c>
      <c r="G105" s="25" t="e">
        <f ca="1">[1]!s2m(E105)</f>
        <v>#NAME?</v>
      </c>
      <c r="H105" s="24" t="e">
        <f ca="1">[1]!s2m(F105)</f>
        <v>#NAME?</v>
      </c>
      <c r="I105" s="45" t="e">
        <f t="shared" ca="1" si="19"/>
        <v>#NAME?</v>
      </c>
    </row>
    <row r="106" spans="5:9" x14ac:dyDescent="0.3">
      <c r="E106" s="24" t="s">
        <v>943</v>
      </c>
      <c r="F106" s="24" t="s">
        <v>951</v>
      </c>
      <c r="G106" s="25" t="e">
        <f ca="1">[1]!s2m(E106)</f>
        <v>#NAME?</v>
      </c>
      <c r="H106" s="24" t="e">
        <f ca="1">[1]!s2m(F106)</f>
        <v>#NAME?</v>
      </c>
      <c r="I106" s="45" t="e">
        <f t="shared" ca="1" si="19"/>
        <v>#NAME?</v>
      </c>
    </row>
  </sheetData>
  <autoFilter ref="A11:AL69">
    <filterColumn colId="0">
      <filters>
        <filter val="7856"/>
      </filters>
    </filterColumn>
  </autoFilter>
  <mergeCells count="47">
    <mergeCell ref="A2:P2"/>
    <mergeCell ref="Q2:R2"/>
    <mergeCell ref="B8:B11"/>
    <mergeCell ref="A8:A11"/>
    <mergeCell ref="Q3:R5"/>
    <mergeCell ref="K3:M5"/>
    <mergeCell ref="K6:M7"/>
    <mergeCell ref="B6:C6"/>
    <mergeCell ref="A3:C3"/>
    <mergeCell ref="B4:C4"/>
    <mergeCell ref="B5:C5"/>
    <mergeCell ref="B7:C7"/>
    <mergeCell ref="H10:H11"/>
    <mergeCell ref="E3:G5"/>
    <mergeCell ref="I9:I10"/>
    <mergeCell ref="J9:J10"/>
    <mergeCell ref="E6:G7"/>
    <mergeCell ref="H6:J7"/>
    <mergeCell ref="H3:J5"/>
    <mergeCell ref="AB5:AB6"/>
    <mergeCell ref="S5:S6"/>
    <mergeCell ref="X5:X6"/>
    <mergeCell ref="Y5:Y6"/>
    <mergeCell ref="T5:T6"/>
    <mergeCell ref="U5:U6"/>
    <mergeCell ref="V5:V6"/>
    <mergeCell ref="W5:W6"/>
    <mergeCell ref="Q6:R6"/>
    <mergeCell ref="Q7:R7"/>
    <mergeCell ref="N3:P5"/>
    <mergeCell ref="N6:P7"/>
    <mergeCell ref="R8:R10"/>
    <mergeCell ref="Q8:Q10"/>
    <mergeCell ref="I8:P8"/>
    <mergeCell ref="K9:K10"/>
    <mergeCell ref="L9:L10"/>
    <mergeCell ref="P9:P10"/>
    <mergeCell ref="M9:M10"/>
    <mergeCell ref="N9:N10"/>
    <mergeCell ref="O9:O10"/>
    <mergeCell ref="C8:C11"/>
    <mergeCell ref="D8:D11"/>
    <mergeCell ref="E10:E11"/>
    <mergeCell ref="F10:F11"/>
    <mergeCell ref="G10:G11"/>
    <mergeCell ref="G8:H9"/>
    <mergeCell ref="E8:F9"/>
  </mergeCells>
  <conditionalFormatting sqref="B12:B69">
    <cfRule type="cellIs" dxfId="69" priority="57" operator="equal">
      <formula>"Delete"</formula>
    </cfRule>
    <cfRule type="cellIs" dxfId="68" priority="147" operator="equal">
      <formula>"On time"</formula>
    </cfRule>
    <cfRule type="cellIs" dxfId="67" priority="148" operator="equal">
      <formula>"Delay"</formula>
    </cfRule>
    <cfRule type="cellIs" dxfId="66" priority="150" operator="equal">
      <formula>"Inprogress"</formula>
    </cfRule>
    <cfRule type="cellIs" dxfId="65" priority="151" operator="equal">
      <formula>"Ahead of schedule"</formula>
    </cfRule>
  </conditionalFormatting>
  <conditionalFormatting sqref="B6:D6">
    <cfRule type="cellIs" dxfId="64" priority="149" operator="equal">
      <formula>"Delay"</formula>
    </cfRule>
  </conditionalFormatting>
  <conditionalFormatting sqref="I12:R69">
    <cfRule type="cellIs" dxfId="63" priority="1" operator="equal">
      <formula>1</formula>
    </cfRule>
  </conditionalFormatting>
  <conditionalFormatting sqref="Q11:R11">
    <cfRule type="dataBar" priority="86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{7CBC713D-2D73-43F3-B1DD-C4B5B438CE97}</x14:id>
        </ext>
      </extLst>
    </cfRule>
  </conditionalFormatting>
  <conditionalFormatting sqref="Q12:R69">
    <cfRule type="cellIs" dxfId="62" priority="87" operator="between">
      <formula>0.01</formula>
      <formula>0.99</formula>
    </cfRule>
    <cfRule type="cellIs" dxfId="61" priority="89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BC713D-2D73-43F3-B1DD-C4B5B438CE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5" tint="-0.249977111117893"/>
  </sheetPr>
  <dimension ref="A1:AL90"/>
  <sheetViews>
    <sheetView topLeftCell="A2" zoomScale="55" zoomScaleNormal="55" zoomScaleSheetLayoutView="40" zoomScalePageLayoutView="40" workbookViewId="0">
      <selection activeCell="A8" sqref="A8:D11"/>
    </sheetView>
  </sheetViews>
  <sheetFormatPr defaultColWidth="9.109375" defaultRowHeight="15.6" outlineLevelCol="1" x14ac:dyDescent="0.3"/>
  <cols>
    <col min="1" max="1" width="11.109375" style="20" customWidth="1"/>
    <col min="2" max="2" width="18" style="21" customWidth="1"/>
    <col min="3" max="3" width="99.6640625" style="22" customWidth="1"/>
    <col min="4" max="4" width="18.33203125" style="22" customWidth="1"/>
    <col min="5" max="5" width="23" style="24" customWidth="1" outlineLevel="1"/>
    <col min="6" max="6" width="24.88671875" style="24" customWidth="1" outlineLevel="1"/>
    <col min="7" max="7" width="22.44140625" style="24" customWidth="1" outlineLevel="1"/>
    <col min="8" max="8" width="22.33203125" style="24" customWidth="1" outlineLevel="1"/>
    <col min="9" max="10" width="13.6640625" style="27" customWidth="1" outlineLevel="1"/>
    <col min="11" max="16" width="13.6640625" style="28" customWidth="1" outlineLevel="1"/>
    <col min="17" max="17" width="19.88671875" style="27" customWidth="1" outlineLevel="1"/>
    <col min="18" max="18" width="15.88671875" style="24" customWidth="1"/>
    <col min="19" max="25" width="10.44140625" style="24" customWidth="1"/>
    <col min="26" max="27" width="10.44140625" style="24" hidden="1" customWidth="1"/>
    <col min="28" max="28" width="10.44140625" style="24" customWidth="1"/>
    <col min="29" max="30" width="12.33203125" style="24" customWidth="1"/>
    <col min="31" max="16384" width="9.109375" style="24"/>
  </cols>
  <sheetData>
    <row r="1" spans="1:38" ht="16.2" thickBot="1" x14ac:dyDescent="0.35"/>
    <row r="2" spans="1:38" customFormat="1" ht="97.5" customHeight="1" x14ac:dyDescent="0.3">
      <c r="A2" s="186" t="s">
        <v>146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51"/>
      <c r="R2" s="188"/>
    </row>
    <row r="3" spans="1:38" customFormat="1" ht="19.649999999999999" customHeight="1" x14ac:dyDescent="0.3">
      <c r="A3" s="123"/>
      <c r="B3" s="123"/>
      <c r="C3" s="123"/>
      <c r="D3" s="81"/>
      <c r="E3" s="119" t="s">
        <v>153</v>
      </c>
      <c r="F3" s="119"/>
      <c r="G3" s="119"/>
      <c r="H3" s="164" t="s">
        <v>985</v>
      </c>
      <c r="I3" s="164"/>
      <c r="J3" s="164"/>
      <c r="K3" s="133" t="s">
        <v>923</v>
      </c>
      <c r="L3" s="133"/>
      <c r="M3" s="133"/>
      <c r="N3" s="171" t="s">
        <v>924</v>
      </c>
      <c r="O3" s="172"/>
      <c r="P3" s="173"/>
      <c r="Q3" s="119" t="s">
        <v>920</v>
      </c>
      <c r="R3" s="119"/>
    </row>
    <row r="4" spans="1:38" customFormat="1" ht="19.649999999999999" customHeight="1" thickBot="1" x14ac:dyDescent="0.35">
      <c r="A4" s="37" t="s">
        <v>150</v>
      </c>
      <c r="B4" s="135"/>
      <c r="C4" s="135"/>
      <c r="D4" s="82"/>
      <c r="E4" s="119"/>
      <c r="F4" s="119"/>
      <c r="G4" s="119"/>
      <c r="H4" s="164"/>
      <c r="I4" s="164"/>
      <c r="J4" s="164"/>
      <c r="K4" s="133"/>
      <c r="L4" s="133"/>
      <c r="M4" s="133"/>
      <c r="N4" s="174"/>
      <c r="O4" s="175"/>
      <c r="P4" s="176"/>
      <c r="Q4" s="119"/>
      <c r="R4" s="119"/>
    </row>
    <row r="5" spans="1:38" customFormat="1" ht="19.649999999999999" customHeight="1" x14ac:dyDescent="0.3">
      <c r="A5" s="37" t="s">
        <v>151</v>
      </c>
      <c r="B5" s="148"/>
      <c r="C5" s="148"/>
      <c r="D5" s="83"/>
      <c r="E5" s="119"/>
      <c r="F5" s="119"/>
      <c r="G5" s="119"/>
      <c r="H5" s="164"/>
      <c r="I5" s="164"/>
      <c r="J5" s="164"/>
      <c r="K5" s="133"/>
      <c r="L5" s="133"/>
      <c r="M5" s="133"/>
      <c r="N5" s="177"/>
      <c r="O5" s="178"/>
      <c r="P5" s="179"/>
      <c r="Q5" s="119"/>
      <c r="R5" s="119"/>
      <c r="S5" s="167" t="s">
        <v>173</v>
      </c>
      <c r="T5" s="169" t="s">
        <v>147</v>
      </c>
      <c r="U5" s="169" t="s">
        <v>155</v>
      </c>
      <c r="V5" s="169" t="s">
        <v>156</v>
      </c>
      <c r="W5" s="169" t="s">
        <v>157</v>
      </c>
      <c r="X5" s="169" t="s">
        <v>158</v>
      </c>
      <c r="Y5" s="169" t="s">
        <v>159</v>
      </c>
      <c r="Z5" s="7"/>
      <c r="AA5" s="7"/>
      <c r="AB5" s="165" t="s">
        <v>160</v>
      </c>
      <c r="AC5" s="15"/>
      <c r="AL5" s="6"/>
    </row>
    <row r="6" spans="1:38" customFormat="1" ht="22.5" customHeight="1" thickBot="1" x14ac:dyDescent="0.35">
      <c r="A6" s="37" t="s">
        <v>152</v>
      </c>
      <c r="B6" s="120"/>
      <c r="C6" s="120"/>
      <c r="D6" s="80"/>
      <c r="E6" s="121" t="s">
        <v>991</v>
      </c>
      <c r="F6" s="121"/>
      <c r="G6" s="121"/>
      <c r="H6" s="122" t="s">
        <v>922</v>
      </c>
      <c r="I6" s="122"/>
      <c r="J6" s="122"/>
      <c r="K6" s="122">
        <f>COUNTIF(B17:B53,"On time")</f>
        <v>0</v>
      </c>
      <c r="L6" s="122"/>
      <c r="M6" s="122"/>
      <c r="N6" s="180">
        <f>COUNTIF(B27:B53,"Inprogress")</f>
        <v>27</v>
      </c>
      <c r="O6" s="181"/>
      <c r="P6" s="182"/>
      <c r="Q6" s="136" t="s">
        <v>1050</v>
      </c>
      <c r="R6" s="136"/>
      <c r="S6" s="168"/>
      <c r="T6" s="170"/>
      <c r="U6" s="170"/>
      <c r="V6" s="170"/>
      <c r="W6" s="170"/>
      <c r="X6" s="170"/>
      <c r="Y6" s="170"/>
      <c r="Z6" s="8"/>
      <c r="AA6" s="8"/>
      <c r="AB6" s="166"/>
      <c r="AC6" s="16"/>
    </row>
    <row r="7" spans="1:38" customFormat="1" ht="24.75" customHeight="1" x14ac:dyDescent="0.3">
      <c r="A7" s="38" t="s">
        <v>149</v>
      </c>
      <c r="B7" s="149"/>
      <c r="C7" s="149"/>
      <c r="D7" s="84"/>
      <c r="E7" s="121"/>
      <c r="F7" s="121"/>
      <c r="G7" s="121"/>
      <c r="H7" s="122"/>
      <c r="I7" s="122"/>
      <c r="J7" s="122"/>
      <c r="K7" s="122"/>
      <c r="L7" s="122"/>
      <c r="M7" s="122"/>
      <c r="N7" s="183"/>
      <c r="O7" s="184"/>
      <c r="P7" s="185"/>
      <c r="Q7" s="137">
        <v>0.45833333333333331</v>
      </c>
      <c r="R7" s="137"/>
      <c r="S7" s="17">
        <v>0</v>
      </c>
      <c r="T7" s="11">
        <v>0.05</v>
      </c>
      <c r="U7" s="11">
        <v>0.1</v>
      </c>
      <c r="V7" s="11">
        <v>0.15</v>
      </c>
      <c r="W7" s="11">
        <v>0.11</v>
      </c>
      <c r="X7" s="11">
        <v>0.2</v>
      </c>
      <c r="Y7" s="11">
        <v>0.24</v>
      </c>
      <c r="Z7" s="11">
        <v>0</v>
      </c>
      <c r="AA7" s="11">
        <v>0</v>
      </c>
      <c r="AB7" s="12">
        <v>0.15</v>
      </c>
      <c r="AC7" s="9" t="s">
        <v>171</v>
      </c>
    </row>
    <row r="8" spans="1:38" customFormat="1" ht="37.65" customHeight="1" thickBot="1" x14ac:dyDescent="0.35">
      <c r="A8" s="138" t="s">
        <v>957</v>
      </c>
      <c r="B8" s="138" t="s">
        <v>958</v>
      </c>
      <c r="C8" s="142" t="s">
        <v>959</v>
      </c>
      <c r="D8" s="142" t="s">
        <v>960</v>
      </c>
      <c r="E8" s="140" t="s">
        <v>975</v>
      </c>
      <c r="F8" s="140"/>
      <c r="G8" s="140" t="s">
        <v>974</v>
      </c>
      <c r="H8" s="140"/>
      <c r="I8" s="161" t="s">
        <v>973</v>
      </c>
      <c r="J8" s="162"/>
      <c r="K8" s="162"/>
      <c r="L8" s="162"/>
      <c r="M8" s="162"/>
      <c r="N8" s="162"/>
      <c r="O8" s="162"/>
      <c r="P8" s="163"/>
      <c r="Q8" s="154" t="s">
        <v>970</v>
      </c>
      <c r="R8" s="154" t="s">
        <v>971</v>
      </c>
      <c r="S8" s="18">
        <v>0.15</v>
      </c>
      <c r="T8" s="13">
        <v>0.05</v>
      </c>
      <c r="U8" s="13">
        <v>0.1</v>
      </c>
      <c r="V8" s="13">
        <v>0.15</v>
      </c>
      <c r="W8" s="13">
        <v>0.1</v>
      </c>
      <c r="X8" s="13">
        <v>0.15</v>
      </c>
      <c r="Y8" s="13">
        <v>0.15</v>
      </c>
      <c r="Z8" s="13">
        <v>0</v>
      </c>
      <c r="AA8" s="13">
        <v>0</v>
      </c>
      <c r="AB8" s="14">
        <v>0.15</v>
      </c>
      <c r="AC8" s="10" t="s">
        <v>172</v>
      </c>
    </row>
    <row r="9" spans="1:38" customFormat="1" ht="26.25" customHeight="1" thickBot="1" x14ac:dyDescent="0.35">
      <c r="A9" s="138"/>
      <c r="B9" s="138"/>
      <c r="C9" s="143"/>
      <c r="D9" s="143"/>
      <c r="E9" s="140"/>
      <c r="F9" s="140"/>
      <c r="G9" s="140"/>
      <c r="H9" s="140"/>
      <c r="I9" s="189" t="s">
        <v>964</v>
      </c>
      <c r="J9" s="155" t="s">
        <v>982</v>
      </c>
      <c r="K9" s="153" t="s">
        <v>965</v>
      </c>
      <c r="L9" s="153" t="s">
        <v>966</v>
      </c>
      <c r="M9" s="153" t="s">
        <v>967</v>
      </c>
      <c r="N9" s="153" t="s">
        <v>972</v>
      </c>
      <c r="O9" s="153" t="s">
        <v>968</v>
      </c>
      <c r="P9" s="153" t="s">
        <v>969</v>
      </c>
      <c r="Q9" s="154"/>
      <c r="R9" s="154"/>
      <c r="S9" s="2"/>
      <c r="T9" s="2"/>
      <c r="U9" s="2">
        <v>0.2</v>
      </c>
      <c r="V9" s="2">
        <v>0.3</v>
      </c>
      <c r="W9" s="2"/>
      <c r="X9" s="2"/>
      <c r="AB9" s="14">
        <v>0.5</v>
      </c>
      <c r="AC9" t="s">
        <v>919</v>
      </c>
    </row>
    <row r="10" spans="1:38" customFormat="1" ht="36.450000000000003" customHeight="1" x14ac:dyDescent="0.3">
      <c r="A10" s="138"/>
      <c r="B10" s="138"/>
      <c r="C10" s="143"/>
      <c r="D10" s="143"/>
      <c r="E10" s="145" t="s">
        <v>961</v>
      </c>
      <c r="F10" s="145" t="s">
        <v>962</v>
      </c>
      <c r="G10" s="145" t="s">
        <v>963</v>
      </c>
      <c r="H10" s="145" t="s">
        <v>962</v>
      </c>
      <c r="I10" s="189"/>
      <c r="J10" s="155"/>
      <c r="K10" s="153"/>
      <c r="L10" s="153"/>
      <c r="M10" s="153"/>
      <c r="N10" s="153"/>
      <c r="O10" s="153"/>
      <c r="P10" s="153"/>
      <c r="Q10" s="154"/>
      <c r="R10" s="154"/>
      <c r="T10" s="3"/>
      <c r="U10" s="3"/>
      <c r="V10" s="3"/>
      <c r="W10" s="3"/>
    </row>
    <row r="11" spans="1:38" customFormat="1" ht="40.5" customHeight="1" x14ac:dyDescent="0.3">
      <c r="A11" s="138"/>
      <c r="B11" s="138"/>
      <c r="C11" s="144"/>
      <c r="D11" s="144"/>
      <c r="E11" s="146"/>
      <c r="F11" s="146"/>
      <c r="G11" s="146"/>
      <c r="H11" s="146"/>
      <c r="I11" s="85">
        <v>0.15</v>
      </c>
      <c r="J11" s="85">
        <v>0.05</v>
      </c>
      <c r="K11" s="85">
        <v>0.1</v>
      </c>
      <c r="L11" s="85">
        <v>0.15</v>
      </c>
      <c r="M11" s="85">
        <v>0.1</v>
      </c>
      <c r="N11" s="85">
        <v>0.15</v>
      </c>
      <c r="O11" s="85">
        <v>0.15</v>
      </c>
      <c r="P11" s="85">
        <v>0.15</v>
      </c>
      <c r="Q11" s="66">
        <f>AVERAGE(Q17:Q53)</f>
        <v>0</v>
      </c>
      <c r="R11" s="67">
        <f>AVERAGE(R17:R53)</f>
        <v>9.5238095238095247E-3</v>
      </c>
      <c r="T11" s="3"/>
      <c r="U11" s="3"/>
      <c r="V11" s="3"/>
      <c r="W11" s="3"/>
    </row>
    <row r="12" spans="1:38" customFormat="1" ht="65.099999999999994" customHeight="1" x14ac:dyDescent="0.3">
      <c r="A12" s="79">
        <v>8218</v>
      </c>
      <c r="B12" s="30" t="str">
        <f t="shared" ref="B12:B53" si="0">IF(R12=1,"On time","Inprogress")</f>
        <v>On time</v>
      </c>
      <c r="C12" s="48" t="s">
        <v>1064</v>
      </c>
      <c r="D12" s="56" t="s">
        <v>993</v>
      </c>
      <c r="E12" s="50"/>
      <c r="F12" s="50" t="s">
        <v>994</v>
      </c>
      <c r="G12" s="50"/>
      <c r="H12" s="50" t="s">
        <v>955</v>
      </c>
      <c r="I12" s="54"/>
      <c r="J12" s="54">
        <v>1</v>
      </c>
      <c r="K12" s="54">
        <v>1</v>
      </c>
      <c r="L12" s="54">
        <v>1</v>
      </c>
      <c r="M12" s="54">
        <v>1</v>
      </c>
      <c r="N12" s="54">
        <v>1</v>
      </c>
      <c r="O12" s="54">
        <v>1</v>
      </c>
      <c r="P12" s="54">
        <v>1</v>
      </c>
      <c r="Q12" s="55">
        <f t="shared" ref="Q12:Q53" si="1">SUMPRODUCT($K$11:$P$11,K12:P12)/0.8</f>
        <v>1</v>
      </c>
      <c r="R12" s="55">
        <f>SUMPRODUCT($I$11:$P$11,I12:P12)+15%</f>
        <v>1</v>
      </c>
      <c r="S12" s="5"/>
      <c r="T12" s="33"/>
      <c r="V12" s="8"/>
      <c r="W12" s="19"/>
      <c r="X12" s="19"/>
    </row>
    <row r="13" spans="1:38" customFormat="1" ht="65.099999999999994" customHeight="1" x14ac:dyDescent="0.3">
      <c r="A13" s="79">
        <v>7765</v>
      </c>
      <c r="B13" s="30" t="str">
        <f t="shared" si="0"/>
        <v>On time</v>
      </c>
      <c r="C13" s="48" t="s">
        <v>1036</v>
      </c>
      <c r="D13" s="57" t="s">
        <v>993</v>
      </c>
      <c r="E13" s="50"/>
      <c r="F13" s="50" t="s">
        <v>750</v>
      </c>
      <c r="G13" s="50"/>
      <c r="H13" s="50" t="s">
        <v>750</v>
      </c>
      <c r="I13" s="54"/>
      <c r="J13" s="54"/>
      <c r="K13" s="54">
        <v>1</v>
      </c>
      <c r="L13" s="54">
        <v>1</v>
      </c>
      <c r="M13" s="54">
        <v>1</v>
      </c>
      <c r="N13" s="54">
        <v>1</v>
      </c>
      <c r="O13" s="54">
        <v>1</v>
      </c>
      <c r="P13" s="54">
        <v>1</v>
      </c>
      <c r="Q13" s="55">
        <f t="shared" si="1"/>
        <v>1</v>
      </c>
      <c r="R13" s="55">
        <f>SUMPRODUCT($I$11:$P$11,I13:P13)+20%</f>
        <v>1</v>
      </c>
      <c r="S13" s="5"/>
      <c r="V13" s="8"/>
      <c r="W13" s="19"/>
      <c r="X13" s="19"/>
    </row>
    <row r="14" spans="1:38" customFormat="1" ht="65.099999999999994" customHeight="1" x14ac:dyDescent="0.3">
      <c r="A14" s="79">
        <v>8055</v>
      </c>
      <c r="B14" s="30" t="str">
        <f t="shared" si="0"/>
        <v>On time</v>
      </c>
      <c r="C14" s="48" t="s">
        <v>1041</v>
      </c>
      <c r="D14" s="57" t="s">
        <v>964</v>
      </c>
      <c r="E14" s="50"/>
      <c r="F14" s="50"/>
      <c r="G14" s="50"/>
      <c r="H14" s="50"/>
      <c r="I14" s="54"/>
      <c r="J14" s="54"/>
      <c r="K14" s="54">
        <v>1</v>
      </c>
      <c r="L14" s="54">
        <v>1</v>
      </c>
      <c r="M14" s="54">
        <v>1</v>
      </c>
      <c r="N14" s="54">
        <v>1</v>
      </c>
      <c r="O14" s="54">
        <v>1</v>
      </c>
      <c r="P14" s="54">
        <v>1</v>
      </c>
      <c r="Q14" s="55">
        <f t="shared" si="1"/>
        <v>1</v>
      </c>
      <c r="R14" s="55">
        <f>SUMPRODUCT($I$11:$P$11,I14:P14)+20%</f>
        <v>1</v>
      </c>
      <c r="S14" s="5"/>
      <c r="V14" s="8"/>
      <c r="W14" s="19"/>
      <c r="X14" s="19"/>
    </row>
    <row r="15" spans="1:38" customFormat="1" ht="65.099999999999994" customHeight="1" x14ac:dyDescent="0.3">
      <c r="A15" s="79">
        <v>8167</v>
      </c>
      <c r="B15" s="30" t="str">
        <f t="shared" si="0"/>
        <v>Inprogress</v>
      </c>
      <c r="C15" s="48" t="s">
        <v>999</v>
      </c>
      <c r="D15" s="56" t="s">
        <v>964</v>
      </c>
      <c r="E15" s="50" t="s">
        <v>1000</v>
      </c>
      <c r="F15" s="50" t="s">
        <v>1001</v>
      </c>
      <c r="G15" s="50" t="s">
        <v>1000</v>
      </c>
      <c r="H15" s="50"/>
      <c r="I15" s="54">
        <v>1</v>
      </c>
      <c r="J15" s="54">
        <v>1</v>
      </c>
      <c r="K15" s="54">
        <v>0</v>
      </c>
      <c r="L15" s="54">
        <v>0</v>
      </c>
      <c r="M15" s="54">
        <v>0</v>
      </c>
      <c r="N15" s="54">
        <v>0</v>
      </c>
      <c r="O15" s="54">
        <v>0</v>
      </c>
      <c r="P15" s="54">
        <v>0</v>
      </c>
      <c r="Q15" s="55">
        <f t="shared" si="1"/>
        <v>0</v>
      </c>
      <c r="R15" s="55">
        <f>SUMPRODUCT($I$11:$P$11,I15:P15)</f>
        <v>0.2</v>
      </c>
      <c r="S15" s="5"/>
      <c r="V15" s="8"/>
      <c r="W15" s="19"/>
      <c r="X15" s="19"/>
    </row>
    <row r="16" spans="1:38" customFormat="1" ht="65.099999999999994" customHeight="1" x14ac:dyDescent="0.3">
      <c r="A16" s="79">
        <v>8166</v>
      </c>
      <c r="B16" s="30" t="str">
        <f t="shared" si="0"/>
        <v>Inprogress</v>
      </c>
      <c r="C16" s="48" t="s">
        <v>1002</v>
      </c>
      <c r="D16" s="56" t="s">
        <v>964</v>
      </c>
      <c r="E16" s="50" t="s">
        <v>1000</v>
      </c>
      <c r="F16" s="50" t="s">
        <v>1001</v>
      </c>
      <c r="G16" s="50" t="s">
        <v>1000</v>
      </c>
      <c r="H16" s="50"/>
      <c r="I16" s="54">
        <v>1</v>
      </c>
      <c r="J16" s="54">
        <v>1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5">
        <f t="shared" si="1"/>
        <v>0</v>
      </c>
      <c r="R16" s="55">
        <f>SUMPRODUCT($I$11:$P$11,I16:P16)</f>
        <v>0.2</v>
      </c>
      <c r="S16" s="5"/>
      <c r="V16" s="8"/>
      <c r="W16" s="19"/>
      <c r="X16" s="19"/>
    </row>
    <row r="17" spans="1:24" customFormat="1" ht="65.099999999999994" customHeight="1" x14ac:dyDescent="0.3">
      <c r="A17" s="79">
        <v>8340</v>
      </c>
      <c r="B17" s="30" t="str">
        <f t="shared" si="0"/>
        <v>Inprogress</v>
      </c>
      <c r="C17" s="48" t="s">
        <v>992</v>
      </c>
      <c r="D17" s="72" t="s">
        <v>993</v>
      </c>
      <c r="E17" s="50"/>
      <c r="F17" s="50" t="s">
        <v>1016</v>
      </c>
      <c r="G17" s="50"/>
      <c r="H17" s="50"/>
      <c r="I17" s="54"/>
      <c r="J17" s="54"/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55">
        <f t="shared" si="1"/>
        <v>0</v>
      </c>
      <c r="R17" s="55">
        <f t="shared" ref="R17:R53" si="2">SUMPRODUCT($I$11:$P$11,I17:P17)</f>
        <v>0</v>
      </c>
      <c r="S17" s="5"/>
      <c r="V17" s="8"/>
      <c r="W17" s="19"/>
      <c r="X17" s="19"/>
    </row>
    <row r="18" spans="1:24" customFormat="1" ht="64.5" customHeight="1" x14ac:dyDescent="0.3">
      <c r="A18" s="79">
        <v>8170</v>
      </c>
      <c r="B18" s="30" t="str">
        <f t="shared" si="0"/>
        <v>Inprogress</v>
      </c>
      <c r="C18" s="57" t="s">
        <v>1068</v>
      </c>
      <c r="D18" s="56" t="s">
        <v>964</v>
      </c>
      <c r="E18" s="50"/>
      <c r="F18" s="50"/>
      <c r="G18" s="50"/>
      <c r="H18" s="50"/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4">
        <v>0</v>
      </c>
      <c r="Q18" s="55">
        <f t="shared" si="1"/>
        <v>0</v>
      </c>
      <c r="R18" s="55">
        <f t="shared" si="2"/>
        <v>0</v>
      </c>
      <c r="W18" s="4"/>
      <c r="X18" s="4"/>
    </row>
    <row r="19" spans="1:24" customFormat="1" ht="65.099999999999994" customHeight="1" x14ac:dyDescent="0.3">
      <c r="A19" s="79">
        <v>8169</v>
      </c>
      <c r="B19" s="30" t="str">
        <f t="shared" si="0"/>
        <v>Inprogress</v>
      </c>
      <c r="C19" s="48" t="s">
        <v>997</v>
      </c>
      <c r="D19" s="56" t="s">
        <v>964</v>
      </c>
      <c r="E19" s="50"/>
      <c r="F19" s="50"/>
      <c r="G19" s="50"/>
      <c r="H19" s="50"/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0</v>
      </c>
      <c r="P19" s="54">
        <v>0</v>
      </c>
      <c r="Q19" s="55">
        <f t="shared" si="1"/>
        <v>0</v>
      </c>
      <c r="R19" s="55">
        <f t="shared" si="2"/>
        <v>0</v>
      </c>
      <c r="S19" s="5"/>
      <c r="V19" s="8"/>
      <c r="W19" s="19"/>
      <c r="X19" s="19"/>
    </row>
    <row r="20" spans="1:24" s="33" customFormat="1" ht="65.099999999999994" customHeight="1" x14ac:dyDescent="0.3">
      <c r="A20" s="79">
        <v>8168</v>
      </c>
      <c r="B20" s="30" t="str">
        <f t="shared" si="0"/>
        <v>Inprogress</v>
      </c>
      <c r="C20" s="48" t="s">
        <v>998</v>
      </c>
      <c r="D20" s="56" t="s">
        <v>964</v>
      </c>
      <c r="E20" s="50"/>
      <c r="F20" s="50"/>
      <c r="G20" s="50"/>
      <c r="H20" s="50"/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5">
        <f t="shared" si="1"/>
        <v>0</v>
      </c>
      <c r="R20" s="55">
        <f t="shared" si="2"/>
        <v>0</v>
      </c>
      <c r="S20" s="32"/>
      <c r="V20" s="34"/>
      <c r="W20" s="35"/>
      <c r="X20" s="35"/>
    </row>
    <row r="21" spans="1:24" customFormat="1" ht="65.099999999999994" customHeight="1" x14ac:dyDescent="0.3">
      <c r="A21" s="79">
        <v>8164</v>
      </c>
      <c r="B21" s="30" t="str">
        <f t="shared" si="0"/>
        <v>Inprogress</v>
      </c>
      <c r="C21" s="48" t="s">
        <v>1010</v>
      </c>
      <c r="D21" s="56" t="s">
        <v>964</v>
      </c>
      <c r="E21" s="50"/>
      <c r="F21" s="50"/>
      <c r="G21" s="50"/>
      <c r="H21" s="50"/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0</v>
      </c>
      <c r="P21" s="54">
        <v>0</v>
      </c>
      <c r="Q21" s="55">
        <f t="shared" ref="Q21:Q25" si="3">SUMPRODUCT($K$11:$P$11,K21:P21)/0.8</f>
        <v>0</v>
      </c>
      <c r="R21" s="55">
        <f t="shared" si="2"/>
        <v>0</v>
      </c>
      <c r="S21" s="5"/>
      <c r="V21" s="8"/>
      <c r="W21" s="19"/>
      <c r="X21" s="19"/>
    </row>
    <row r="22" spans="1:24" customFormat="1" ht="65.099999999999994" customHeight="1" x14ac:dyDescent="0.3">
      <c r="A22" s="79">
        <v>8142</v>
      </c>
      <c r="B22" s="30" t="str">
        <f t="shared" si="0"/>
        <v>Inprogress</v>
      </c>
      <c r="C22" s="48" t="s">
        <v>1003</v>
      </c>
      <c r="D22" s="56" t="s">
        <v>964</v>
      </c>
      <c r="E22" s="50"/>
      <c r="F22" s="50"/>
      <c r="G22" s="50"/>
      <c r="H22" s="50"/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0</v>
      </c>
      <c r="P22" s="54">
        <v>0</v>
      </c>
      <c r="Q22" s="55">
        <f t="shared" si="3"/>
        <v>0</v>
      </c>
      <c r="R22" s="55">
        <f t="shared" si="2"/>
        <v>0</v>
      </c>
      <c r="S22" s="5"/>
      <c r="V22" s="8"/>
      <c r="W22" s="19"/>
      <c r="X22" s="19"/>
    </row>
    <row r="23" spans="1:24" customFormat="1" ht="65.099999999999994" customHeight="1" x14ac:dyDescent="0.3">
      <c r="A23" s="79">
        <v>8141</v>
      </c>
      <c r="B23" s="30" t="str">
        <f t="shared" si="0"/>
        <v>Inprogress</v>
      </c>
      <c r="C23" s="48" t="s">
        <v>1004</v>
      </c>
      <c r="D23" s="57" t="s">
        <v>993</v>
      </c>
      <c r="E23" s="50"/>
      <c r="F23" s="50"/>
      <c r="G23" s="50"/>
      <c r="H23" s="50"/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0</v>
      </c>
      <c r="P23" s="54">
        <v>0</v>
      </c>
      <c r="Q23" s="55">
        <f t="shared" si="3"/>
        <v>0</v>
      </c>
      <c r="R23" s="55">
        <f t="shared" si="2"/>
        <v>0</v>
      </c>
      <c r="S23" s="5"/>
      <c r="V23" s="8"/>
      <c r="W23" s="19"/>
      <c r="X23" s="19"/>
    </row>
    <row r="24" spans="1:24" customFormat="1" ht="65.099999999999994" customHeight="1" x14ac:dyDescent="0.3">
      <c r="A24" s="79">
        <v>8140</v>
      </c>
      <c r="B24" s="30" t="str">
        <f t="shared" si="0"/>
        <v>Inprogress</v>
      </c>
      <c r="C24" s="48" t="s">
        <v>1005</v>
      </c>
      <c r="D24" s="56" t="s">
        <v>964</v>
      </c>
      <c r="E24" s="50"/>
      <c r="F24" s="50"/>
      <c r="G24" s="50"/>
      <c r="H24" s="50"/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0</v>
      </c>
      <c r="P24" s="54">
        <v>0</v>
      </c>
      <c r="Q24" s="55">
        <f t="shared" si="3"/>
        <v>0</v>
      </c>
      <c r="R24" s="55">
        <f t="shared" si="2"/>
        <v>0</v>
      </c>
      <c r="S24" s="5"/>
      <c r="V24" s="8"/>
      <c r="W24" s="19"/>
      <c r="X24" s="19"/>
    </row>
    <row r="25" spans="1:24" customFormat="1" ht="65.099999999999994" customHeight="1" x14ac:dyDescent="0.3">
      <c r="A25" s="79">
        <v>8137</v>
      </c>
      <c r="B25" s="30" t="str">
        <f t="shared" si="0"/>
        <v>Inprogress</v>
      </c>
      <c r="C25" s="48" t="s">
        <v>1008</v>
      </c>
      <c r="D25" s="56" t="s">
        <v>964</v>
      </c>
      <c r="E25" s="50"/>
      <c r="F25" s="50"/>
      <c r="G25" s="50"/>
      <c r="H25" s="50"/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0</v>
      </c>
      <c r="P25" s="54">
        <v>0</v>
      </c>
      <c r="Q25" s="55">
        <f t="shared" si="3"/>
        <v>0</v>
      </c>
      <c r="R25" s="55">
        <f t="shared" si="2"/>
        <v>0</v>
      </c>
      <c r="S25" s="5"/>
      <c r="V25" s="8"/>
      <c r="W25" s="19"/>
      <c r="X25" s="19"/>
    </row>
    <row r="26" spans="1:24" customFormat="1" ht="65.099999999999994" customHeight="1" x14ac:dyDescent="0.3">
      <c r="A26" s="79">
        <v>7866</v>
      </c>
      <c r="B26" s="30" t="str">
        <f t="shared" si="0"/>
        <v>Inprogress</v>
      </c>
      <c r="C26" s="48" t="s">
        <v>1021</v>
      </c>
      <c r="D26" s="56" t="s">
        <v>964</v>
      </c>
      <c r="E26" s="50"/>
      <c r="F26" s="50"/>
      <c r="G26" s="50"/>
      <c r="H26" s="50"/>
      <c r="I26" s="54">
        <v>0</v>
      </c>
      <c r="J26" s="54">
        <v>0</v>
      </c>
      <c r="K26" s="54">
        <v>0</v>
      </c>
      <c r="L26" s="54">
        <v>0</v>
      </c>
      <c r="M26" s="54">
        <v>0</v>
      </c>
      <c r="N26" s="54">
        <v>0</v>
      </c>
      <c r="O26" s="54">
        <v>0</v>
      </c>
      <c r="P26" s="54">
        <v>0</v>
      </c>
      <c r="Q26" s="55">
        <f>SUMPRODUCT($K$11:$P$11,K26:P26)/0.8</f>
        <v>0</v>
      </c>
      <c r="R26" s="55">
        <f t="shared" si="2"/>
        <v>0</v>
      </c>
      <c r="S26" s="5"/>
      <c r="V26" s="8"/>
      <c r="W26" s="19"/>
      <c r="X26" s="19"/>
    </row>
    <row r="27" spans="1:24" customFormat="1" ht="64.5" customHeight="1" x14ac:dyDescent="0.3">
      <c r="A27" s="79">
        <v>7864</v>
      </c>
      <c r="B27" s="30" t="str">
        <f t="shared" si="0"/>
        <v>Inprogress</v>
      </c>
      <c r="C27" s="48" t="s">
        <v>1023</v>
      </c>
      <c r="D27" s="56" t="s">
        <v>964</v>
      </c>
      <c r="E27" s="50"/>
      <c r="F27" s="50"/>
      <c r="G27" s="50"/>
      <c r="H27" s="50"/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54">
        <v>0</v>
      </c>
      <c r="O27" s="54">
        <v>0</v>
      </c>
      <c r="P27" s="54">
        <v>0</v>
      </c>
      <c r="Q27" s="55">
        <f>SUMPRODUCT($K$11:$P$11,K27:P27)/0.8</f>
        <v>0</v>
      </c>
      <c r="R27" s="55">
        <f t="shared" si="2"/>
        <v>0</v>
      </c>
      <c r="S27" s="5"/>
      <c r="V27" s="8"/>
      <c r="W27" s="19"/>
      <c r="X27" s="19"/>
    </row>
    <row r="28" spans="1:24" customFormat="1" ht="65.099999999999994" customHeight="1" x14ac:dyDescent="0.3">
      <c r="A28" s="79">
        <v>7862</v>
      </c>
      <c r="B28" s="30" t="str">
        <f t="shared" si="0"/>
        <v>Inprogress</v>
      </c>
      <c r="C28" s="57" t="s">
        <v>1024</v>
      </c>
      <c r="D28" s="56" t="s">
        <v>964</v>
      </c>
      <c r="E28" s="50" t="s">
        <v>1000</v>
      </c>
      <c r="F28" s="50" t="s">
        <v>1001</v>
      </c>
      <c r="G28" s="50" t="s">
        <v>1000</v>
      </c>
      <c r="H28" s="50"/>
      <c r="I28" s="54">
        <v>1</v>
      </c>
      <c r="J28" s="54">
        <v>1</v>
      </c>
      <c r="K28" s="54">
        <v>0</v>
      </c>
      <c r="L28" s="54">
        <v>0</v>
      </c>
      <c r="M28" s="54">
        <v>0</v>
      </c>
      <c r="N28" s="54">
        <v>0</v>
      </c>
      <c r="O28" s="54">
        <v>0</v>
      </c>
      <c r="P28" s="54">
        <v>0</v>
      </c>
      <c r="Q28" s="55">
        <f>SUMPRODUCT($K$11:$P$11,K28:P28)/0.8</f>
        <v>0</v>
      </c>
      <c r="R28" s="55">
        <f t="shared" si="2"/>
        <v>0.2</v>
      </c>
      <c r="W28" s="4"/>
      <c r="X28" s="4"/>
    </row>
    <row r="29" spans="1:24" customFormat="1" ht="65.099999999999994" customHeight="1" x14ac:dyDescent="0.3">
      <c r="A29" s="79">
        <v>7853</v>
      </c>
      <c r="B29" s="30" t="str">
        <f t="shared" si="0"/>
        <v>Inprogress</v>
      </c>
      <c r="C29" s="48" t="s">
        <v>1030</v>
      </c>
      <c r="D29" s="57" t="s">
        <v>964</v>
      </c>
      <c r="E29" s="50"/>
      <c r="F29" s="50"/>
      <c r="G29" s="50"/>
      <c r="H29" s="50"/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0</v>
      </c>
      <c r="P29" s="54">
        <v>0</v>
      </c>
      <c r="Q29" s="55">
        <f t="shared" si="1"/>
        <v>0</v>
      </c>
      <c r="R29" s="55">
        <f t="shared" si="2"/>
        <v>0</v>
      </c>
      <c r="S29" s="5"/>
      <c r="V29" s="8"/>
      <c r="W29" s="19"/>
      <c r="X29" s="19"/>
    </row>
    <row r="30" spans="1:24" customFormat="1" ht="65.099999999999994" customHeight="1" x14ac:dyDescent="0.3">
      <c r="A30" s="79">
        <v>7852</v>
      </c>
      <c r="B30" s="30" t="str">
        <f t="shared" si="0"/>
        <v>Inprogress</v>
      </c>
      <c r="C30" s="48" t="s">
        <v>1031</v>
      </c>
      <c r="D30" s="57" t="s">
        <v>964</v>
      </c>
      <c r="E30" s="50"/>
      <c r="F30" s="50"/>
      <c r="G30" s="50"/>
      <c r="H30" s="50"/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4">
        <v>0</v>
      </c>
      <c r="O30" s="54">
        <v>0</v>
      </c>
      <c r="P30" s="54">
        <v>0</v>
      </c>
      <c r="Q30" s="55">
        <f t="shared" si="1"/>
        <v>0</v>
      </c>
      <c r="R30" s="55">
        <f t="shared" si="2"/>
        <v>0</v>
      </c>
      <c r="S30" s="5"/>
      <c r="V30" s="8"/>
      <c r="W30" s="19"/>
      <c r="X30" s="19"/>
    </row>
    <row r="31" spans="1:24" customFormat="1" ht="65.099999999999994" customHeight="1" x14ac:dyDescent="0.3">
      <c r="A31" s="79">
        <v>7851</v>
      </c>
      <c r="B31" s="30" t="str">
        <f t="shared" si="0"/>
        <v>Inprogress</v>
      </c>
      <c r="C31" s="48" t="s">
        <v>1032</v>
      </c>
      <c r="D31" s="57" t="s">
        <v>993</v>
      </c>
      <c r="E31" s="50"/>
      <c r="F31" s="50"/>
      <c r="G31" s="50"/>
      <c r="H31" s="50"/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4">
        <v>0</v>
      </c>
      <c r="O31" s="54">
        <v>0</v>
      </c>
      <c r="P31" s="54">
        <v>0</v>
      </c>
      <c r="Q31" s="55">
        <f t="shared" si="1"/>
        <v>0</v>
      </c>
      <c r="R31" s="55">
        <f t="shared" si="2"/>
        <v>0</v>
      </c>
      <c r="S31" s="5"/>
      <c r="V31" s="8"/>
      <c r="W31" s="19"/>
      <c r="X31" s="19"/>
    </row>
    <row r="32" spans="1:24" customFormat="1" ht="65.099999999999994" customHeight="1" x14ac:dyDescent="0.3">
      <c r="A32" s="79">
        <v>7848</v>
      </c>
      <c r="B32" s="30" t="str">
        <f t="shared" si="0"/>
        <v>Inprogress</v>
      </c>
      <c r="C32" s="48" t="s">
        <v>1033</v>
      </c>
      <c r="D32" s="57" t="s">
        <v>964</v>
      </c>
      <c r="E32" s="50"/>
      <c r="F32" s="50"/>
      <c r="G32" s="50"/>
      <c r="H32" s="50"/>
      <c r="I32" s="54">
        <v>0</v>
      </c>
      <c r="J32" s="54">
        <v>0</v>
      </c>
      <c r="K32" s="54">
        <v>0</v>
      </c>
      <c r="L32" s="54">
        <v>0</v>
      </c>
      <c r="M32" s="54">
        <v>0</v>
      </c>
      <c r="N32" s="54">
        <v>0</v>
      </c>
      <c r="O32" s="54">
        <v>0</v>
      </c>
      <c r="P32" s="54">
        <v>0</v>
      </c>
      <c r="Q32" s="55">
        <f t="shared" si="1"/>
        <v>0</v>
      </c>
      <c r="R32" s="55">
        <f t="shared" si="2"/>
        <v>0</v>
      </c>
      <c r="S32" s="5"/>
      <c r="V32" s="8"/>
      <c r="W32" s="19"/>
      <c r="X32" s="19"/>
    </row>
    <row r="33" spans="1:24" customFormat="1" ht="65.099999999999994" customHeight="1" x14ac:dyDescent="0.3">
      <c r="A33" s="79">
        <v>7846</v>
      </c>
      <c r="B33" s="30" t="str">
        <f t="shared" si="0"/>
        <v>Inprogress</v>
      </c>
      <c r="C33" s="48" t="s">
        <v>1035</v>
      </c>
      <c r="D33" s="57" t="s">
        <v>964</v>
      </c>
      <c r="E33" s="50"/>
      <c r="F33" s="50"/>
      <c r="G33" s="50"/>
      <c r="H33" s="50"/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4">
        <v>0</v>
      </c>
      <c r="O33" s="54">
        <v>0</v>
      </c>
      <c r="P33" s="54">
        <v>0</v>
      </c>
      <c r="Q33" s="55">
        <f t="shared" si="1"/>
        <v>0</v>
      </c>
      <c r="R33" s="55">
        <f t="shared" si="2"/>
        <v>0</v>
      </c>
      <c r="S33" s="5"/>
      <c r="V33" s="8"/>
      <c r="W33" s="19"/>
      <c r="X33" s="19"/>
    </row>
    <row r="34" spans="1:24" customFormat="1" ht="65.099999999999994" customHeight="1" x14ac:dyDescent="0.3">
      <c r="A34" s="79">
        <v>8061</v>
      </c>
      <c r="B34" s="30" t="str">
        <f t="shared" si="0"/>
        <v>Inprogress</v>
      </c>
      <c r="C34" s="48" t="s">
        <v>1037</v>
      </c>
      <c r="D34" s="57" t="s">
        <v>993</v>
      </c>
      <c r="E34" s="50"/>
      <c r="F34" s="50" t="s">
        <v>952</v>
      </c>
      <c r="G34" s="50"/>
      <c r="H34" s="50"/>
      <c r="I34" s="54"/>
      <c r="J34" s="54"/>
      <c r="K34" s="54">
        <v>0</v>
      </c>
      <c r="L34" s="54">
        <v>0</v>
      </c>
      <c r="M34" s="54">
        <v>0</v>
      </c>
      <c r="N34" s="54">
        <v>0</v>
      </c>
      <c r="O34" s="54">
        <v>0</v>
      </c>
      <c r="P34" s="54">
        <v>0</v>
      </c>
      <c r="Q34" s="55">
        <f t="shared" si="1"/>
        <v>0</v>
      </c>
      <c r="R34" s="55">
        <f t="shared" si="2"/>
        <v>0</v>
      </c>
      <c r="S34" s="5"/>
      <c r="V34" s="8"/>
      <c r="W34" s="19"/>
      <c r="X34" s="19"/>
    </row>
    <row r="35" spans="1:24" customFormat="1" ht="65.099999999999994" customHeight="1" x14ac:dyDescent="0.3">
      <c r="A35" s="79">
        <v>8060</v>
      </c>
      <c r="B35" s="30" t="str">
        <f t="shared" si="0"/>
        <v>Inprogress</v>
      </c>
      <c r="C35" s="48" t="s">
        <v>1038</v>
      </c>
      <c r="D35" s="57" t="s">
        <v>993</v>
      </c>
      <c r="E35" s="50"/>
      <c r="F35" s="50"/>
      <c r="G35" s="50"/>
      <c r="H35" s="50"/>
      <c r="I35" s="54"/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4">
        <v>0</v>
      </c>
      <c r="P35" s="54">
        <v>0</v>
      </c>
      <c r="Q35" s="55">
        <f t="shared" si="1"/>
        <v>0</v>
      </c>
      <c r="R35" s="55">
        <f t="shared" si="2"/>
        <v>0</v>
      </c>
      <c r="S35" s="5"/>
      <c r="V35" s="8"/>
      <c r="W35" s="19"/>
      <c r="X35" s="19"/>
    </row>
    <row r="36" spans="1:24" customFormat="1" ht="65.099999999999994" customHeight="1" x14ac:dyDescent="0.3">
      <c r="A36" s="79">
        <v>8058</v>
      </c>
      <c r="B36" s="30" t="str">
        <f t="shared" si="0"/>
        <v>Inprogress</v>
      </c>
      <c r="C36" s="48" t="s">
        <v>1039</v>
      </c>
      <c r="D36" s="57" t="s">
        <v>964</v>
      </c>
      <c r="E36" s="50"/>
      <c r="F36" s="50"/>
      <c r="G36" s="50"/>
      <c r="H36" s="50"/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>
        <v>0</v>
      </c>
      <c r="O36" s="54">
        <v>0</v>
      </c>
      <c r="P36" s="54">
        <v>0</v>
      </c>
      <c r="Q36" s="55">
        <f t="shared" si="1"/>
        <v>0</v>
      </c>
      <c r="R36" s="55">
        <f t="shared" si="2"/>
        <v>0</v>
      </c>
      <c r="S36" s="5"/>
      <c r="V36" s="8"/>
      <c r="W36" s="19"/>
      <c r="X36" s="19"/>
    </row>
    <row r="37" spans="1:24" customFormat="1" ht="65.099999999999994" customHeight="1" x14ac:dyDescent="0.3">
      <c r="A37" s="79">
        <v>8048</v>
      </c>
      <c r="B37" s="30" t="str">
        <f t="shared" si="0"/>
        <v>Inprogress</v>
      </c>
      <c r="C37" s="48" t="s">
        <v>1063</v>
      </c>
      <c r="D37" s="57" t="s">
        <v>964</v>
      </c>
      <c r="E37" s="50"/>
      <c r="F37" s="50"/>
      <c r="G37" s="50" t="s">
        <v>1065</v>
      </c>
      <c r="H37" s="50"/>
      <c r="I37" s="54">
        <v>1</v>
      </c>
      <c r="J37" s="54">
        <v>1</v>
      </c>
      <c r="K37" s="54">
        <v>0</v>
      </c>
      <c r="L37" s="54">
        <v>0</v>
      </c>
      <c r="M37" s="54">
        <v>0</v>
      </c>
      <c r="N37" s="54">
        <v>0</v>
      </c>
      <c r="O37" s="54">
        <v>0</v>
      </c>
      <c r="P37" s="54">
        <v>0</v>
      </c>
      <c r="Q37" s="55"/>
      <c r="R37" s="55"/>
      <c r="S37" s="5"/>
      <c r="V37" s="8"/>
      <c r="W37" s="19"/>
      <c r="X37" s="19"/>
    </row>
    <row r="38" spans="1:24" customFormat="1" ht="65.099999999999994" customHeight="1" x14ac:dyDescent="0.3">
      <c r="A38" s="79">
        <v>8047</v>
      </c>
      <c r="B38" s="30" t="str">
        <f t="shared" si="0"/>
        <v>Inprogress</v>
      </c>
      <c r="C38" s="48" t="s">
        <v>1061</v>
      </c>
      <c r="D38" s="57" t="s">
        <v>964</v>
      </c>
      <c r="E38" s="50"/>
      <c r="F38" s="50"/>
      <c r="G38" s="50"/>
      <c r="H38" s="50"/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4">
        <v>0</v>
      </c>
      <c r="O38" s="54">
        <v>0</v>
      </c>
      <c r="P38" s="54">
        <v>0</v>
      </c>
      <c r="Q38" s="55"/>
      <c r="R38" s="55"/>
      <c r="S38" s="5"/>
      <c r="V38" s="8"/>
      <c r="W38" s="19"/>
      <c r="X38" s="19"/>
    </row>
    <row r="39" spans="1:24" customFormat="1" ht="65.099999999999994" customHeight="1" x14ac:dyDescent="0.3">
      <c r="A39" s="79">
        <v>8046</v>
      </c>
      <c r="B39" s="30" t="str">
        <f t="shared" si="0"/>
        <v>Inprogress</v>
      </c>
      <c r="C39" s="48" t="s">
        <v>1062</v>
      </c>
      <c r="D39" s="57" t="s">
        <v>964</v>
      </c>
      <c r="E39" s="50"/>
      <c r="F39" s="50"/>
      <c r="G39" s="50"/>
      <c r="H39" s="50"/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4">
        <v>0</v>
      </c>
      <c r="P39" s="54">
        <v>0</v>
      </c>
      <c r="Q39" s="55"/>
      <c r="R39" s="55"/>
      <c r="S39" s="5"/>
      <c r="V39" s="8"/>
      <c r="W39" s="19"/>
      <c r="X39" s="19"/>
    </row>
    <row r="40" spans="1:24" customFormat="1" ht="65.099999999999994" customHeight="1" x14ac:dyDescent="0.3">
      <c r="A40" s="79">
        <v>8045</v>
      </c>
      <c r="B40" s="30" t="str">
        <f t="shared" si="0"/>
        <v>Inprogress</v>
      </c>
      <c r="C40" s="48" t="s">
        <v>1069</v>
      </c>
      <c r="D40" s="57" t="s">
        <v>964</v>
      </c>
      <c r="E40" s="50"/>
      <c r="F40" s="50"/>
      <c r="G40" s="50"/>
      <c r="H40" s="50"/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4">
        <v>0</v>
      </c>
      <c r="O40" s="54">
        <v>0</v>
      </c>
      <c r="P40" s="54">
        <v>0</v>
      </c>
      <c r="Q40" s="55"/>
      <c r="R40" s="55"/>
      <c r="S40" s="5"/>
      <c r="V40" s="8"/>
      <c r="W40" s="19"/>
      <c r="X40" s="19"/>
    </row>
    <row r="41" spans="1:24" customFormat="1" ht="65.099999999999994" customHeight="1" x14ac:dyDescent="0.3">
      <c r="A41" s="79">
        <v>8044</v>
      </c>
      <c r="B41" s="30" t="str">
        <f t="shared" si="0"/>
        <v>Inprogress</v>
      </c>
      <c r="C41" s="48" t="s">
        <v>1059</v>
      </c>
      <c r="D41" s="57" t="s">
        <v>964</v>
      </c>
      <c r="E41" s="50" t="s">
        <v>956</v>
      </c>
      <c r="F41" s="50" t="s">
        <v>953</v>
      </c>
      <c r="G41" s="50" t="s">
        <v>956</v>
      </c>
      <c r="H41" s="50"/>
      <c r="I41" s="54">
        <v>1</v>
      </c>
      <c r="J41" s="54">
        <v>1</v>
      </c>
      <c r="K41" s="54">
        <v>1</v>
      </c>
      <c r="L41" s="54">
        <v>1</v>
      </c>
      <c r="M41" s="54">
        <v>1</v>
      </c>
      <c r="N41" s="54">
        <v>1</v>
      </c>
      <c r="O41" s="54">
        <v>1</v>
      </c>
      <c r="P41" s="54">
        <v>1</v>
      </c>
      <c r="Q41" s="55"/>
      <c r="R41" s="55"/>
      <c r="S41" s="5"/>
      <c r="V41" s="8"/>
      <c r="W41" s="19"/>
      <c r="X41" s="19"/>
    </row>
    <row r="42" spans="1:24" customFormat="1" ht="65.099999999999994" customHeight="1" x14ac:dyDescent="0.3">
      <c r="A42" s="79">
        <v>7890</v>
      </c>
      <c r="B42" s="30" t="str">
        <f t="shared" si="0"/>
        <v>Inprogress</v>
      </c>
      <c r="C42" s="48" t="s">
        <v>1043</v>
      </c>
      <c r="D42" s="57" t="s">
        <v>964</v>
      </c>
      <c r="E42" s="50"/>
      <c r="F42" s="50"/>
      <c r="G42" s="50"/>
      <c r="H42" s="50"/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4">
        <v>0</v>
      </c>
      <c r="O42" s="54">
        <v>0</v>
      </c>
      <c r="P42" s="54">
        <v>0</v>
      </c>
      <c r="Q42" s="55"/>
      <c r="R42" s="55"/>
      <c r="S42" s="5"/>
      <c r="V42" s="8"/>
      <c r="W42" s="19"/>
      <c r="X42" s="19"/>
    </row>
    <row r="43" spans="1:24" customFormat="1" ht="65.099999999999994" customHeight="1" x14ac:dyDescent="0.3">
      <c r="A43" s="79">
        <v>7889</v>
      </c>
      <c r="B43" s="30" t="str">
        <f t="shared" si="0"/>
        <v>Inprogress</v>
      </c>
      <c r="C43" s="48" t="s">
        <v>1044</v>
      </c>
      <c r="D43" s="57" t="s">
        <v>964</v>
      </c>
      <c r="E43" s="50"/>
      <c r="F43" s="24"/>
      <c r="G43" s="50"/>
      <c r="H43" s="50"/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4">
        <v>0</v>
      </c>
      <c r="O43" s="54">
        <v>0</v>
      </c>
      <c r="P43" s="54">
        <v>0</v>
      </c>
      <c r="Q43" s="55"/>
      <c r="R43" s="55"/>
      <c r="S43" s="5"/>
      <c r="V43" s="8"/>
      <c r="W43" s="19"/>
      <c r="X43" s="19"/>
    </row>
    <row r="44" spans="1:24" customFormat="1" ht="65.099999999999994" customHeight="1" x14ac:dyDescent="0.3">
      <c r="A44" s="79">
        <v>7888</v>
      </c>
      <c r="B44" s="30" t="str">
        <f t="shared" si="0"/>
        <v>Inprogress</v>
      </c>
      <c r="C44" s="48" t="s">
        <v>1045</v>
      </c>
      <c r="D44" s="57" t="s">
        <v>964</v>
      </c>
      <c r="E44" s="50" t="s">
        <v>1067</v>
      </c>
      <c r="F44" s="50" t="s">
        <v>1067</v>
      </c>
      <c r="G44" s="50" t="s">
        <v>1066</v>
      </c>
      <c r="H44" s="50" t="s">
        <v>1067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4">
        <v>0</v>
      </c>
      <c r="O44" s="54">
        <v>0</v>
      </c>
      <c r="P44" s="54">
        <v>0</v>
      </c>
      <c r="Q44" s="55"/>
      <c r="R44" s="55"/>
      <c r="S44" s="5"/>
      <c r="V44" s="8"/>
      <c r="W44" s="19"/>
      <c r="X44" s="19"/>
    </row>
    <row r="45" spans="1:24" customFormat="1" ht="65.099999999999994" customHeight="1" x14ac:dyDescent="0.3">
      <c r="A45" s="79">
        <v>7887</v>
      </c>
      <c r="B45" s="30" t="str">
        <f t="shared" si="0"/>
        <v>Inprogress</v>
      </c>
      <c r="C45" s="48" t="s">
        <v>1046</v>
      </c>
      <c r="D45" s="57" t="s">
        <v>993</v>
      </c>
      <c r="E45" s="50"/>
      <c r="F45" s="50"/>
      <c r="G45" s="50"/>
      <c r="H45" s="50"/>
      <c r="I45" s="54"/>
      <c r="J45" s="54"/>
      <c r="K45" s="54">
        <v>0</v>
      </c>
      <c r="L45" s="54">
        <v>0</v>
      </c>
      <c r="M45" s="54">
        <v>0</v>
      </c>
      <c r="N45" s="54">
        <v>0</v>
      </c>
      <c r="O45" s="54">
        <v>0</v>
      </c>
      <c r="P45" s="54">
        <v>0</v>
      </c>
      <c r="Q45" s="55"/>
      <c r="R45" s="55"/>
      <c r="S45" s="5"/>
      <c r="V45" s="8"/>
      <c r="W45" s="19"/>
      <c r="X45" s="19"/>
    </row>
    <row r="46" spans="1:24" customFormat="1" ht="65.099999999999994" customHeight="1" x14ac:dyDescent="0.3">
      <c r="A46" s="79">
        <v>7886</v>
      </c>
      <c r="B46" s="30" t="str">
        <f t="shared" si="0"/>
        <v>Inprogress</v>
      </c>
      <c r="C46" s="48" t="s">
        <v>1047</v>
      </c>
      <c r="D46" s="57" t="s">
        <v>964</v>
      </c>
      <c r="E46" s="50"/>
      <c r="F46" s="50"/>
      <c r="G46" s="50"/>
      <c r="H46" s="50"/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0</v>
      </c>
      <c r="O46" s="54">
        <v>0</v>
      </c>
      <c r="P46" s="54">
        <v>0</v>
      </c>
      <c r="Q46" s="55"/>
      <c r="R46" s="55"/>
      <c r="S46" s="5"/>
      <c r="V46" s="8"/>
      <c r="W46" s="19"/>
      <c r="X46" s="19"/>
    </row>
    <row r="47" spans="1:24" customFormat="1" ht="65.099999999999994" customHeight="1" x14ac:dyDescent="0.3">
      <c r="A47" s="79">
        <v>7885</v>
      </c>
      <c r="B47" s="30" t="str">
        <f t="shared" si="0"/>
        <v>Inprogress</v>
      </c>
      <c r="C47" s="48" t="s">
        <v>1048</v>
      </c>
      <c r="D47" s="57" t="s">
        <v>964</v>
      </c>
      <c r="E47" s="50"/>
      <c r="F47" s="50"/>
      <c r="G47" s="50"/>
      <c r="H47" s="50"/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4">
        <v>0</v>
      </c>
      <c r="O47" s="54">
        <v>0</v>
      </c>
      <c r="P47" s="54">
        <v>0</v>
      </c>
      <c r="Q47" s="55"/>
      <c r="R47" s="55"/>
      <c r="S47" s="5"/>
      <c r="V47" s="8"/>
      <c r="W47" s="19"/>
      <c r="X47" s="19"/>
    </row>
    <row r="48" spans="1:24" customFormat="1" ht="65.099999999999994" customHeight="1" x14ac:dyDescent="0.3">
      <c r="A48" s="79">
        <v>8189</v>
      </c>
      <c r="B48" s="30" t="str">
        <f t="shared" si="0"/>
        <v>Inprogress</v>
      </c>
      <c r="C48" s="48" t="s">
        <v>1052</v>
      </c>
      <c r="D48" s="57" t="s">
        <v>964</v>
      </c>
      <c r="E48" s="50"/>
      <c r="F48" s="50"/>
      <c r="G48" s="50"/>
      <c r="H48" s="50"/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4">
        <v>0</v>
      </c>
      <c r="O48" s="54">
        <v>0</v>
      </c>
      <c r="P48" s="54">
        <v>0</v>
      </c>
      <c r="Q48" s="55"/>
      <c r="R48" s="55"/>
      <c r="S48" s="5"/>
      <c r="V48" s="8"/>
      <c r="W48" s="19"/>
      <c r="X48" s="19"/>
    </row>
    <row r="49" spans="1:24" customFormat="1" ht="65.099999999999994" customHeight="1" x14ac:dyDescent="0.3">
      <c r="A49" s="79">
        <v>8188</v>
      </c>
      <c r="B49" s="30" t="str">
        <f t="shared" si="0"/>
        <v>Inprogress</v>
      </c>
      <c r="C49" s="48" t="s">
        <v>1053</v>
      </c>
      <c r="D49" s="57" t="s">
        <v>964</v>
      </c>
      <c r="E49" s="50"/>
      <c r="F49" s="50"/>
      <c r="G49" s="50"/>
      <c r="H49" s="50"/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4">
        <v>0</v>
      </c>
      <c r="O49" s="54">
        <v>0</v>
      </c>
      <c r="P49" s="54">
        <v>0</v>
      </c>
      <c r="Q49" s="55"/>
      <c r="R49" s="55"/>
      <c r="S49" s="5"/>
      <c r="V49" s="8"/>
      <c r="W49" s="19"/>
      <c r="X49" s="19"/>
    </row>
    <row r="50" spans="1:24" customFormat="1" ht="65.099999999999994" customHeight="1" x14ac:dyDescent="0.3">
      <c r="A50" s="79">
        <v>8187</v>
      </c>
      <c r="B50" s="30" t="str">
        <f t="shared" si="0"/>
        <v>Inprogress</v>
      </c>
      <c r="C50" s="48" t="s">
        <v>1054</v>
      </c>
      <c r="D50" s="57" t="s">
        <v>964</v>
      </c>
      <c r="E50" s="50"/>
      <c r="F50" s="50"/>
      <c r="G50" s="50"/>
      <c r="H50" s="50"/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4">
        <v>0</v>
      </c>
      <c r="O50" s="54">
        <v>0</v>
      </c>
      <c r="P50" s="54">
        <v>0</v>
      </c>
      <c r="Q50" s="55"/>
      <c r="R50" s="55"/>
      <c r="S50" s="5"/>
      <c r="V50" s="8"/>
      <c r="W50" s="19"/>
      <c r="X50" s="19"/>
    </row>
    <row r="51" spans="1:24" customFormat="1" ht="65.099999999999994" customHeight="1" x14ac:dyDescent="0.3">
      <c r="A51" s="79">
        <v>8186</v>
      </c>
      <c r="B51" s="30" t="str">
        <f t="shared" si="0"/>
        <v>Inprogress</v>
      </c>
      <c r="C51" s="48" t="s">
        <v>1055</v>
      </c>
      <c r="D51" s="57" t="s">
        <v>964</v>
      </c>
      <c r="E51" s="50"/>
      <c r="F51" s="50"/>
      <c r="G51" s="50"/>
      <c r="H51" s="50"/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4">
        <v>0</v>
      </c>
      <c r="O51" s="54">
        <v>0</v>
      </c>
      <c r="P51" s="54">
        <v>0</v>
      </c>
      <c r="Q51" s="55"/>
      <c r="R51" s="55"/>
      <c r="S51" s="5"/>
      <c r="V51" s="8"/>
      <c r="W51" s="19"/>
      <c r="X51" s="19"/>
    </row>
    <row r="52" spans="1:24" customFormat="1" ht="65.099999999999994" customHeight="1" x14ac:dyDescent="0.3">
      <c r="A52" s="79">
        <v>8185</v>
      </c>
      <c r="B52" s="30" t="str">
        <f t="shared" si="0"/>
        <v>Inprogress</v>
      </c>
      <c r="C52" s="48" t="s">
        <v>1056</v>
      </c>
      <c r="D52" s="57" t="s">
        <v>964</v>
      </c>
      <c r="E52" s="50"/>
      <c r="F52" s="50"/>
      <c r="G52" s="50"/>
      <c r="H52" s="50"/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4">
        <v>0</v>
      </c>
      <c r="O52" s="54">
        <v>0</v>
      </c>
      <c r="P52" s="54">
        <v>0</v>
      </c>
      <c r="Q52" s="55"/>
      <c r="R52" s="55"/>
      <c r="S52" s="5"/>
      <c r="V52" s="8"/>
      <c r="W52" s="19"/>
      <c r="X52" s="19"/>
    </row>
    <row r="53" spans="1:24" customFormat="1" ht="65.099999999999994" customHeight="1" x14ac:dyDescent="0.3">
      <c r="A53" s="79">
        <v>8184</v>
      </c>
      <c r="B53" s="30" t="str">
        <f t="shared" si="0"/>
        <v>Inprogress</v>
      </c>
      <c r="C53" s="48" t="s">
        <v>1057</v>
      </c>
      <c r="D53" s="57" t="s">
        <v>964</v>
      </c>
      <c r="E53" s="50"/>
      <c r="F53" s="50"/>
      <c r="G53" s="50"/>
      <c r="H53" s="50"/>
      <c r="I53" s="54">
        <v>0</v>
      </c>
      <c r="J53" s="54">
        <v>0</v>
      </c>
      <c r="K53" s="54">
        <v>0</v>
      </c>
      <c r="L53" s="54">
        <v>0</v>
      </c>
      <c r="M53" s="54">
        <v>0</v>
      </c>
      <c r="N53" s="54">
        <v>0</v>
      </c>
      <c r="O53" s="54">
        <v>0</v>
      </c>
      <c r="P53" s="54">
        <v>0</v>
      </c>
      <c r="Q53" s="55">
        <f t="shared" si="1"/>
        <v>0</v>
      </c>
      <c r="R53" s="55">
        <f t="shared" si="2"/>
        <v>0</v>
      </c>
      <c r="S53" s="5"/>
      <c r="V53" s="8"/>
      <c r="W53" s="19"/>
      <c r="X53" s="19"/>
    </row>
    <row r="54" spans="1:24" x14ac:dyDescent="0.3">
      <c r="F54" s="25"/>
      <c r="G54" s="25"/>
    </row>
    <row r="55" spans="1:24" x14ac:dyDescent="0.3">
      <c r="F55" s="25"/>
      <c r="G55" s="25"/>
    </row>
    <row r="56" spans="1:24" x14ac:dyDescent="0.3">
      <c r="F56" s="25"/>
      <c r="G56" s="25"/>
    </row>
    <row r="57" spans="1:24" x14ac:dyDescent="0.3">
      <c r="F57" s="25"/>
      <c r="G57" s="25"/>
    </row>
    <row r="58" spans="1:24" x14ac:dyDescent="0.3">
      <c r="F58" s="25"/>
      <c r="G58" s="25"/>
    </row>
    <row r="59" spans="1:24" x14ac:dyDescent="0.3">
      <c r="F59" s="25"/>
      <c r="G59" s="25"/>
    </row>
    <row r="60" spans="1:24" x14ac:dyDescent="0.3">
      <c r="F60" s="25"/>
      <c r="G60" s="25"/>
    </row>
    <row r="61" spans="1:24" x14ac:dyDescent="0.3">
      <c r="F61" s="25"/>
      <c r="G61" s="25"/>
    </row>
    <row r="62" spans="1:24" x14ac:dyDescent="0.3">
      <c r="F62" s="25"/>
      <c r="G62" s="25"/>
    </row>
    <row r="63" spans="1:24" x14ac:dyDescent="0.3">
      <c r="F63" s="25"/>
      <c r="G63" s="25"/>
    </row>
    <row r="64" spans="1:24" x14ac:dyDescent="0.3">
      <c r="F64" s="25"/>
      <c r="G64" s="25"/>
    </row>
    <row r="65" spans="1:38" s="27" customFormat="1" x14ac:dyDescent="0.3">
      <c r="A65" s="20"/>
      <c r="B65" s="21"/>
      <c r="C65" s="22"/>
      <c r="D65" s="22"/>
      <c r="E65" s="24"/>
      <c r="F65" s="25"/>
      <c r="G65" s="25"/>
      <c r="H65" s="24"/>
      <c r="K65" s="28"/>
      <c r="L65" s="28"/>
      <c r="M65" s="28"/>
      <c r="N65" s="28"/>
      <c r="O65" s="28"/>
      <c r="P65" s="28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1:38" s="27" customFormat="1" x14ac:dyDescent="0.3">
      <c r="A66" s="20"/>
      <c r="B66" s="21"/>
      <c r="C66" s="22"/>
      <c r="D66" s="22"/>
      <c r="E66" s="24"/>
      <c r="F66" s="25"/>
      <c r="G66" s="25"/>
      <c r="H66" s="24"/>
      <c r="K66" s="28"/>
      <c r="L66" s="28"/>
      <c r="M66" s="28"/>
      <c r="N66" s="28"/>
      <c r="O66" s="28"/>
      <c r="P66" s="28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1:38" s="27" customFormat="1" x14ac:dyDescent="0.3">
      <c r="A67" s="20"/>
      <c r="B67" s="21"/>
      <c r="C67" s="22"/>
      <c r="D67" s="22"/>
      <c r="E67" s="24"/>
      <c r="F67" s="25"/>
      <c r="G67" s="25"/>
      <c r="H67" s="24"/>
      <c r="K67" s="28"/>
      <c r="L67" s="28"/>
      <c r="M67" s="28"/>
      <c r="N67" s="28"/>
      <c r="O67" s="28"/>
      <c r="P67" s="28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1:38" s="27" customFormat="1" x14ac:dyDescent="0.3">
      <c r="A68" s="20"/>
      <c r="B68" s="21"/>
      <c r="C68" s="22"/>
      <c r="D68" s="22"/>
      <c r="E68" s="24"/>
      <c r="F68" s="25"/>
      <c r="G68" s="25"/>
      <c r="H68" s="24"/>
      <c r="K68" s="28"/>
      <c r="L68" s="28"/>
      <c r="M68" s="28"/>
      <c r="N68" s="28"/>
      <c r="O68" s="28"/>
      <c r="P68" s="28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1:38" s="27" customFormat="1" x14ac:dyDescent="0.3">
      <c r="A69" s="20"/>
      <c r="B69" s="21"/>
      <c r="C69" s="22"/>
      <c r="D69" s="22"/>
      <c r="E69" s="24"/>
      <c r="F69" s="25"/>
      <c r="G69" s="25"/>
      <c r="H69" s="24"/>
      <c r="K69" s="28"/>
      <c r="L69" s="28"/>
      <c r="M69" s="28"/>
      <c r="N69" s="28"/>
      <c r="O69" s="28"/>
      <c r="P69" s="28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1:38" s="27" customFormat="1" x14ac:dyDescent="0.3">
      <c r="A70" s="20"/>
      <c r="B70" s="21"/>
      <c r="C70" s="22"/>
      <c r="D70" s="22"/>
      <c r="E70" s="24"/>
      <c r="F70" s="25"/>
      <c r="G70" s="25"/>
      <c r="H70" s="24"/>
      <c r="K70" s="28"/>
      <c r="L70" s="28"/>
      <c r="M70" s="28"/>
      <c r="N70" s="28"/>
      <c r="O70" s="28"/>
      <c r="P70" s="28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1:38" s="27" customFormat="1" x14ac:dyDescent="0.3">
      <c r="A71" s="20"/>
      <c r="B71" s="21"/>
      <c r="C71" s="22"/>
      <c r="D71" s="22"/>
      <c r="E71" s="24"/>
      <c r="F71" s="25"/>
      <c r="G71" s="25"/>
      <c r="H71" s="24"/>
      <c r="K71" s="28"/>
      <c r="L71" s="28"/>
      <c r="M71" s="28"/>
      <c r="N71" s="28"/>
      <c r="O71" s="28"/>
      <c r="P71" s="28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1:38" s="27" customFormat="1" x14ac:dyDescent="0.3">
      <c r="A72" s="20"/>
      <c r="B72" s="21"/>
      <c r="C72" s="22"/>
      <c r="D72" s="22"/>
      <c r="E72" s="24"/>
      <c r="F72" s="25"/>
      <c r="G72" s="25"/>
      <c r="H72" s="24"/>
      <c r="K72" s="28"/>
      <c r="L72" s="28"/>
      <c r="M72" s="28"/>
      <c r="N72" s="28"/>
      <c r="O72" s="28"/>
      <c r="P72" s="28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1:38" s="27" customFormat="1" x14ac:dyDescent="0.3">
      <c r="A73" s="20"/>
      <c r="B73" s="21"/>
      <c r="C73" s="22"/>
      <c r="D73" s="22"/>
      <c r="E73" s="24"/>
      <c r="F73" s="25"/>
      <c r="G73" s="25"/>
      <c r="H73" s="24"/>
      <c r="K73" s="28"/>
      <c r="L73" s="28"/>
      <c r="M73" s="28"/>
      <c r="N73" s="28"/>
      <c r="O73" s="28"/>
      <c r="P73" s="28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1:38" s="27" customFormat="1" x14ac:dyDescent="0.3">
      <c r="A74" s="20"/>
      <c r="B74" s="21"/>
      <c r="C74" s="22"/>
      <c r="D74" s="22"/>
      <c r="E74" s="24" t="s">
        <v>926</v>
      </c>
      <c r="F74" s="25" t="s">
        <v>931</v>
      </c>
      <c r="G74" s="25" t="e">
        <f ca="1">[1]!s2m(E74)</f>
        <v>#NAME?</v>
      </c>
      <c r="H74" s="24" t="e">
        <f ca="1">[1]!s2m(F74)</f>
        <v>#NAME?</v>
      </c>
      <c r="I74" s="45" t="e">
        <f t="shared" ref="I74:I90" ca="1" si="4">H74-TODAY()</f>
        <v>#NAME?</v>
      </c>
      <c r="K74" s="28"/>
      <c r="L74" s="28"/>
      <c r="M74" s="28"/>
      <c r="N74" s="28"/>
      <c r="O74" s="28"/>
      <c r="P74" s="28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1:38" s="27" customFormat="1" x14ac:dyDescent="0.3">
      <c r="A75" s="20"/>
      <c r="B75" s="21"/>
      <c r="C75" s="22"/>
      <c r="D75" s="22"/>
      <c r="E75" s="24" t="s">
        <v>926</v>
      </c>
      <c r="F75" s="24" t="s">
        <v>931</v>
      </c>
      <c r="G75" s="25" t="e">
        <f ca="1">[1]!s2m(E75)</f>
        <v>#NAME?</v>
      </c>
      <c r="H75" s="24" t="e">
        <f ca="1">[1]!s2m(F75)</f>
        <v>#NAME?</v>
      </c>
      <c r="I75" s="45" t="e">
        <f t="shared" ca="1" si="4"/>
        <v>#NAME?</v>
      </c>
      <c r="K75" s="28"/>
      <c r="L75" s="28"/>
      <c r="M75" s="28"/>
      <c r="N75" s="28"/>
      <c r="O75" s="28"/>
      <c r="P75" s="28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1:38" s="27" customFormat="1" x14ac:dyDescent="0.3">
      <c r="A76" s="20"/>
      <c r="B76" s="21"/>
      <c r="C76" s="22"/>
      <c r="D76" s="22"/>
      <c r="E76" s="24" t="s">
        <v>927</v>
      </c>
      <c r="F76" s="24" t="s">
        <v>932</v>
      </c>
      <c r="G76" s="25" t="e">
        <f ca="1">[1]!s2m(E76)</f>
        <v>#NAME?</v>
      </c>
      <c r="H76" s="24" t="e">
        <f ca="1">[1]!s2m(F76)</f>
        <v>#NAME?</v>
      </c>
      <c r="I76" s="45" t="e">
        <f t="shared" ca="1" si="4"/>
        <v>#NAME?</v>
      </c>
      <c r="K76" s="28"/>
      <c r="L76" s="28"/>
      <c r="M76" s="28"/>
      <c r="N76" s="28"/>
      <c r="O76" s="28"/>
      <c r="P76" s="28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1:38" s="27" customFormat="1" x14ac:dyDescent="0.3">
      <c r="A77" s="20"/>
      <c r="B77" s="21"/>
      <c r="C77" s="22"/>
      <c r="D77" s="22"/>
      <c r="E77" s="24" t="s">
        <v>925</v>
      </c>
      <c r="F77" s="24" t="s">
        <v>933</v>
      </c>
      <c r="G77" s="25" t="e">
        <f ca="1">[1]!s2m(E77)</f>
        <v>#NAME?</v>
      </c>
      <c r="H77" s="24" t="e">
        <f ca="1">[1]!s2m(F77)</f>
        <v>#NAME?</v>
      </c>
      <c r="I77" s="45" t="e">
        <f t="shared" ca="1" si="4"/>
        <v>#NAME?</v>
      </c>
      <c r="K77" s="28"/>
      <c r="L77" s="28"/>
      <c r="M77" s="28"/>
      <c r="N77" s="28"/>
      <c r="O77" s="28"/>
      <c r="P77" s="28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1:38" s="27" customFormat="1" x14ac:dyDescent="0.3">
      <c r="A78" s="20"/>
      <c r="B78" s="21"/>
      <c r="C78" s="22"/>
      <c r="D78" s="22"/>
      <c r="E78" s="24" t="s">
        <v>928</v>
      </c>
      <c r="F78" s="24" t="s">
        <v>934</v>
      </c>
      <c r="G78" s="25" t="e">
        <f ca="1">[1]!s2m(E78)</f>
        <v>#NAME?</v>
      </c>
      <c r="H78" s="24" t="e">
        <f ca="1">[1]!s2m(F78)</f>
        <v>#NAME?</v>
      </c>
      <c r="I78" s="45" t="e">
        <f t="shared" ca="1" si="4"/>
        <v>#NAME?</v>
      </c>
      <c r="K78" s="28"/>
      <c r="L78" s="28"/>
      <c r="M78" s="28"/>
      <c r="N78" s="28"/>
      <c r="O78" s="28"/>
      <c r="P78" s="28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1:38" s="27" customFormat="1" x14ac:dyDescent="0.3">
      <c r="A79" s="20"/>
      <c r="B79" s="21"/>
      <c r="C79" s="22"/>
      <c r="D79" s="22"/>
      <c r="E79" s="24" t="s">
        <v>929</v>
      </c>
      <c r="F79" s="24" t="s">
        <v>935</v>
      </c>
      <c r="G79" s="25" t="e">
        <f ca="1">[1]!s2m(E79)</f>
        <v>#NAME?</v>
      </c>
      <c r="H79" s="24" t="e">
        <f ca="1">[1]!s2m(F79)</f>
        <v>#NAME?</v>
      </c>
      <c r="I79" s="45" t="e">
        <f t="shared" ca="1" si="4"/>
        <v>#NAME?</v>
      </c>
      <c r="K79" s="28"/>
      <c r="L79" s="28"/>
      <c r="M79" s="28"/>
      <c r="N79" s="28"/>
      <c r="O79" s="28"/>
      <c r="P79" s="28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1:38" s="27" customFormat="1" x14ac:dyDescent="0.3">
      <c r="A80" s="20"/>
      <c r="B80" s="21"/>
      <c r="C80" s="22"/>
      <c r="D80" s="22"/>
      <c r="E80" s="24" t="s">
        <v>930</v>
      </c>
      <c r="F80" s="24" t="s">
        <v>936</v>
      </c>
      <c r="G80" s="25" t="e">
        <f ca="1">[1]!s2m(E80)</f>
        <v>#NAME?</v>
      </c>
      <c r="H80" s="24" t="e">
        <f ca="1">[1]!s2m(F80)</f>
        <v>#NAME?</v>
      </c>
      <c r="I80" s="45" t="e">
        <f t="shared" ca="1" si="4"/>
        <v>#NAME?</v>
      </c>
      <c r="K80" s="28"/>
      <c r="L80" s="28"/>
      <c r="M80" s="28"/>
      <c r="N80" s="28"/>
      <c r="O80" s="28"/>
      <c r="P80" s="28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1:38" s="27" customFormat="1" x14ac:dyDescent="0.3">
      <c r="A81" s="20"/>
      <c r="B81" s="21"/>
      <c r="C81" s="22"/>
      <c r="D81" s="22"/>
      <c r="E81" s="24" t="s">
        <v>937</v>
      </c>
      <c r="F81" s="24" t="s">
        <v>944</v>
      </c>
      <c r="G81" s="25" t="e">
        <f ca="1">[1]!s2m(E81)</f>
        <v>#NAME?</v>
      </c>
      <c r="H81" s="24" t="e">
        <f ca="1">[1]!s2m(F81)</f>
        <v>#NAME?</v>
      </c>
      <c r="I81" s="45" t="e">
        <f t="shared" ca="1" si="4"/>
        <v>#NAME?</v>
      </c>
      <c r="K81" s="28"/>
      <c r="L81" s="28"/>
      <c r="M81" s="28"/>
      <c r="N81" s="28"/>
      <c r="O81" s="28"/>
      <c r="P81" s="28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1:38" s="27" customFormat="1" x14ac:dyDescent="0.3">
      <c r="A82" s="20"/>
      <c r="B82" s="21"/>
      <c r="C82" s="22"/>
      <c r="D82" s="22"/>
      <c r="E82" s="24" t="s">
        <v>938</v>
      </c>
      <c r="F82" s="24" t="s">
        <v>945</v>
      </c>
      <c r="G82" s="25" t="e">
        <f ca="1">[1]!s2m(E82)</f>
        <v>#NAME?</v>
      </c>
      <c r="H82" s="24" t="e">
        <f ca="1">[1]!s2m(F82)</f>
        <v>#NAME?</v>
      </c>
      <c r="I82" s="45" t="e">
        <f t="shared" ca="1" si="4"/>
        <v>#NAME?</v>
      </c>
      <c r="K82" s="28"/>
      <c r="L82" s="28"/>
      <c r="M82" s="28"/>
      <c r="N82" s="28"/>
      <c r="O82" s="28"/>
      <c r="P82" s="28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1:38" s="27" customFormat="1" x14ac:dyDescent="0.3">
      <c r="A83" s="20"/>
      <c r="B83" s="21"/>
      <c r="C83" s="22"/>
      <c r="D83" s="22"/>
      <c r="E83" s="24" t="s">
        <v>681</v>
      </c>
      <c r="F83" s="24" t="s">
        <v>946</v>
      </c>
      <c r="G83" s="25" t="e">
        <f ca="1">[1]!s2m(E83)</f>
        <v>#NAME?</v>
      </c>
      <c r="H83" s="24" t="e">
        <f ca="1">[1]!s2m(F83)</f>
        <v>#NAME?</v>
      </c>
      <c r="I83" s="45" t="e">
        <f t="shared" ca="1" si="4"/>
        <v>#NAME?</v>
      </c>
      <c r="K83" s="28"/>
      <c r="L83" s="28"/>
      <c r="M83" s="28"/>
      <c r="N83" s="28"/>
      <c r="O83" s="28"/>
      <c r="P83" s="28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1:38" s="27" customFormat="1" x14ac:dyDescent="0.3">
      <c r="A84" s="20"/>
      <c r="B84" s="21"/>
      <c r="C84" s="22"/>
      <c r="D84" s="22"/>
      <c r="E84" s="24" t="s">
        <v>939</v>
      </c>
      <c r="F84" s="24" t="s">
        <v>947</v>
      </c>
      <c r="G84" s="25" t="e">
        <f ca="1">[1]!s2m(E84)</f>
        <v>#NAME?</v>
      </c>
      <c r="H84" s="24" t="e">
        <f ca="1">[1]!s2m(F84)</f>
        <v>#NAME?</v>
      </c>
      <c r="I84" s="45" t="e">
        <f t="shared" ca="1" si="4"/>
        <v>#NAME?</v>
      </c>
      <c r="K84" s="28"/>
      <c r="L84" s="28"/>
      <c r="M84" s="28"/>
      <c r="N84" s="28"/>
      <c r="O84" s="28"/>
      <c r="P84" s="28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1:38" s="27" customFormat="1" x14ac:dyDescent="0.3">
      <c r="A85" s="20"/>
      <c r="B85" s="21"/>
      <c r="C85" s="22"/>
      <c r="D85" s="22"/>
      <c r="E85" s="24" t="s">
        <v>940</v>
      </c>
      <c r="F85" s="24" t="s">
        <v>948</v>
      </c>
      <c r="G85" s="25" t="e">
        <f ca="1">[1]!s2m(E85)</f>
        <v>#NAME?</v>
      </c>
      <c r="H85" s="24" t="e">
        <f ca="1">[1]!s2m(F85)</f>
        <v>#NAME?</v>
      </c>
      <c r="I85" s="45" t="e">
        <f t="shared" ca="1" si="4"/>
        <v>#NAME?</v>
      </c>
      <c r="K85" s="28"/>
      <c r="L85" s="28"/>
      <c r="M85" s="28"/>
      <c r="N85" s="28"/>
      <c r="O85" s="28"/>
      <c r="P85" s="28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1:38" s="27" customFormat="1" x14ac:dyDescent="0.3">
      <c r="A86" s="20"/>
      <c r="B86" s="21"/>
      <c r="C86" s="22"/>
      <c r="D86" s="22"/>
      <c r="E86" s="24" t="s">
        <v>941</v>
      </c>
      <c r="F86" s="24" t="s">
        <v>949</v>
      </c>
      <c r="G86" s="25" t="e">
        <f ca="1">[1]!s2m(E86)</f>
        <v>#NAME?</v>
      </c>
      <c r="H86" s="24" t="e">
        <f ca="1">[1]!s2m(F86)</f>
        <v>#NAME?</v>
      </c>
      <c r="I86" s="45" t="e">
        <f t="shared" ca="1" si="4"/>
        <v>#NAME?</v>
      </c>
      <c r="K86" s="28"/>
      <c r="L86" s="28"/>
      <c r="M86" s="28"/>
      <c r="N86" s="28"/>
      <c r="O86" s="28"/>
      <c r="P86" s="28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spans="1:38" s="27" customFormat="1" x14ac:dyDescent="0.3">
      <c r="A87" s="20"/>
      <c r="B87" s="21"/>
      <c r="C87" s="22"/>
      <c r="D87" s="22"/>
      <c r="E87" s="24" t="s">
        <v>942</v>
      </c>
      <c r="F87" s="24" t="s">
        <v>950</v>
      </c>
      <c r="G87" s="25" t="e">
        <f ca="1">[1]!s2m(E87)</f>
        <v>#NAME?</v>
      </c>
      <c r="H87" s="24" t="e">
        <f ca="1">[1]!s2m(F87)</f>
        <v>#NAME?</v>
      </c>
      <c r="I87" s="45" t="e">
        <f t="shared" ca="1" si="4"/>
        <v>#NAME?</v>
      </c>
      <c r="K87" s="28"/>
      <c r="L87" s="28"/>
      <c r="M87" s="28"/>
      <c r="N87" s="28"/>
      <c r="O87" s="28"/>
      <c r="P87" s="28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spans="1:38" s="27" customFormat="1" x14ac:dyDescent="0.3">
      <c r="A88" s="20"/>
      <c r="B88" s="21"/>
      <c r="C88" s="22"/>
      <c r="D88" s="22"/>
      <c r="E88" s="24" t="s">
        <v>943</v>
      </c>
      <c r="F88" s="24" t="s">
        <v>951</v>
      </c>
      <c r="G88" s="25" t="e">
        <f ca="1">[1]!s2m(E88)</f>
        <v>#NAME?</v>
      </c>
      <c r="H88" s="24" t="e">
        <f ca="1">[1]!s2m(F88)</f>
        <v>#NAME?</v>
      </c>
      <c r="I88" s="45" t="e">
        <f t="shared" ca="1" si="4"/>
        <v>#NAME?</v>
      </c>
      <c r="K88" s="28"/>
      <c r="L88" s="28"/>
      <c r="M88" s="28"/>
      <c r="N88" s="28"/>
      <c r="O88" s="28"/>
      <c r="P88" s="28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spans="1:38" s="27" customFormat="1" x14ac:dyDescent="0.3">
      <c r="A89" s="20"/>
      <c r="B89" s="21"/>
      <c r="C89" s="22"/>
      <c r="D89" s="22"/>
      <c r="E89" s="24" t="s">
        <v>939</v>
      </c>
      <c r="F89" s="24" t="s">
        <v>947</v>
      </c>
      <c r="G89" s="25" t="e">
        <f ca="1">[1]!s2m(E89)</f>
        <v>#NAME?</v>
      </c>
      <c r="H89" s="24" t="e">
        <f ca="1">[1]!s2m(F89)</f>
        <v>#NAME?</v>
      </c>
      <c r="I89" s="45" t="e">
        <f t="shared" ca="1" si="4"/>
        <v>#NAME?</v>
      </c>
      <c r="K89" s="28"/>
      <c r="L89" s="28"/>
      <c r="M89" s="28"/>
      <c r="N89" s="28"/>
      <c r="O89" s="28"/>
      <c r="P89" s="28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spans="1:38" s="27" customFormat="1" x14ac:dyDescent="0.3">
      <c r="A90" s="20"/>
      <c r="B90" s="21"/>
      <c r="C90" s="22"/>
      <c r="D90" s="22"/>
      <c r="E90" s="24" t="s">
        <v>943</v>
      </c>
      <c r="F90" s="24" t="s">
        <v>951</v>
      </c>
      <c r="G90" s="25" t="e">
        <f ca="1">[1]!s2m(E90)</f>
        <v>#NAME?</v>
      </c>
      <c r="H90" s="24" t="e">
        <f ca="1">[1]!s2m(F90)</f>
        <v>#NAME?</v>
      </c>
      <c r="I90" s="45" t="e">
        <f t="shared" ca="1" si="4"/>
        <v>#NAME?</v>
      </c>
      <c r="K90" s="28"/>
      <c r="L90" s="28"/>
      <c r="M90" s="28"/>
      <c r="N90" s="28"/>
      <c r="O90" s="28"/>
      <c r="P90" s="28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</row>
  </sheetData>
  <autoFilter ref="A11:AL53"/>
  <mergeCells count="47"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W5:W6"/>
    <mergeCell ref="X5:X6"/>
    <mergeCell ref="A8:A11"/>
    <mergeCell ref="B8:B11"/>
    <mergeCell ref="C8:C11"/>
    <mergeCell ref="D8:D11"/>
    <mergeCell ref="E8:F9"/>
    <mergeCell ref="E10:E11"/>
    <mergeCell ref="F10:F11"/>
    <mergeCell ref="R8:R10"/>
    <mergeCell ref="I9:I10"/>
    <mergeCell ref="J9:J10"/>
    <mergeCell ref="K9:K10"/>
    <mergeCell ref="L9:L10"/>
    <mergeCell ref="M9:M10"/>
    <mergeCell ref="N9:N10"/>
    <mergeCell ref="O9:O10"/>
    <mergeCell ref="P9:P10"/>
    <mergeCell ref="G10:G11"/>
    <mergeCell ref="H10:H11"/>
    <mergeCell ref="G8:H9"/>
    <mergeCell ref="I8:P8"/>
    <mergeCell ref="Q8:Q10"/>
  </mergeCells>
  <conditionalFormatting sqref="B12:B53">
    <cfRule type="cellIs" dxfId="60" priority="3" operator="equal">
      <formula>"Delete"</formula>
    </cfRule>
    <cfRule type="cellIs" dxfId="59" priority="8" operator="equal">
      <formula>"On time"</formula>
    </cfRule>
    <cfRule type="cellIs" dxfId="58" priority="9" operator="equal">
      <formula>"Delay"</formula>
    </cfRule>
    <cfRule type="cellIs" dxfId="57" priority="11" operator="equal">
      <formula>"Inprogress"</formula>
    </cfRule>
    <cfRule type="cellIs" dxfId="56" priority="12" operator="equal">
      <formula>"Ahead of schedule"</formula>
    </cfRule>
  </conditionalFormatting>
  <conditionalFormatting sqref="B6:D6">
    <cfRule type="cellIs" dxfId="55" priority="10" operator="equal">
      <formula>"Delay"</formula>
    </cfRule>
  </conditionalFormatting>
  <conditionalFormatting sqref="I12:R53">
    <cfRule type="cellIs" dxfId="54" priority="1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{A71E4468-C0F6-4665-B29A-D42B5B67E459}</x14:id>
        </ext>
      </extLst>
    </cfRule>
  </conditionalFormatting>
  <conditionalFormatting sqref="Q12:R53">
    <cfRule type="cellIs" dxfId="53" priority="5" operator="between">
      <formula>0.01</formula>
      <formula>0.99</formula>
    </cfRule>
    <cfRule type="cellIs" dxfId="52" priority="7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E4468-C0F6-4665-B29A-D42B5B67E4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5" tint="-0.249977111117893"/>
  </sheetPr>
  <dimension ref="A1:XFB57"/>
  <sheetViews>
    <sheetView tabSelected="1" topLeftCell="A15" zoomScale="55" zoomScaleNormal="55" zoomScaleSheetLayoutView="40" zoomScalePageLayoutView="40" workbookViewId="0">
      <selection activeCell="C18" sqref="C18"/>
    </sheetView>
  </sheetViews>
  <sheetFormatPr defaultColWidth="9.109375" defaultRowHeight="15.6" outlineLevelCol="1" x14ac:dyDescent="0.3"/>
  <cols>
    <col min="1" max="1" width="11.109375" style="20" customWidth="1"/>
    <col min="2" max="2" width="18" style="21" customWidth="1"/>
    <col min="3" max="3" width="99.6640625" style="22" customWidth="1"/>
    <col min="4" max="4" width="18.33203125" style="22" customWidth="1"/>
    <col min="5" max="5" width="23" style="24" customWidth="1" outlineLevel="1"/>
    <col min="6" max="6" width="24.88671875" style="24" customWidth="1" outlineLevel="1"/>
    <col min="7" max="7" width="22.44140625" style="24" customWidth="1" outlineLevel="1"/>
    <col min="8" max="8" width="22.33203125" style="24" customWidth="1" outlineLevel="1"/>
    <col min="9" max="10" width="13.6640625" style="27" customWidth="1" outlineLevel="1"/>
    <col min="11" max="16" width="13.6640625" style="28" customWidth="1" outlineLevel="1"/>
    <col min="17" max="17" width="19.88671875" style="27" customWidth="1" outlineLevel="1"/>
    <col min="18" max="18" width="17" style="24" bestFit="1" customWidth="1"/>
    <col min="19" max="25" width="10.44140625" style="24" customWidth="1"/>
    <col min="26" max="27" width="10.44140625" style="24" hidden="1" customWidth="1"/>
    <col min="28" max="28" width="10.44140625" style="24" customWidth="1"/>
    <col min="29" max="30" width="12.33203125" style="24" customWidth="1"/>
    <col min="31" max="16384" width="9.109375" style="24"/>
  </cols>
  <sheetData>
    <row r="1" spans="1:38" ht="16.2" thickBot="1" x14ac:dyDescent="0.35"/>
    <row r="2" spans="1:38" customFormat="1" ht="97.5" customHeight="1" x14ac:dyDescent="0.3">
      <c r="A2" s="186" t="s">
        <v>146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51"/>
      <c r="R2" s="188"/>
    </row>
    <row r="3" spans="1:38" customFormat="1" ht="19.649999999999999" customHeight="1" x14ac:dyDescent="0.3">
      <c r="A3" s="123"/>
      <c r="B3" s="123"/>
      <c r="C3" s="123"/>
      <c r="D3" s="81"/>
      <c r="E3" s="119" t="s">
        <v>153</v>
      </c>
      <c r="F3" s="119"/>
      <c r="G3" s="119"/>
      <c r="H3" s="164" t="s">
        <v>985</v>
      </c>
      <c r="I3" s="164"/>
      <c r="J3" s="164"/>
      <c r="K3" s="133" t="s">
        <v>923</v>
      </c>
      <c r="L3" s="133"/>
      <c r="M3" s="133"/>
      <c r="N3" s="171" t="s">
        <v>924</v>
      </c>
      <c r="O3" s="172"/>
      <c r="P3" s="173"/>
      <c r="Q3" s="119" t="s">
        <v>920</v>
      </c>
      <c r="R3" s="119"/>
    </row>
    <row r="4" spans="1:38" customFormat="1" ht="19.649999999999999" customHeight="1" thickBot="1" x14ac:dyDescent="0.35">
      <c r="A4" s="37" t="s">
        <v>150</v>
      </c>
      <c r="B4" s="135"/>
      <c r="C4" s="135"/>
      <c r="D4" s="82"/>
      <c r="E4" s="119"/>
      <c r="F4" s="119"/>
      <c r="G4" s="119"/>
      <c r="H4" s="164"/>
      <c r="I4" s="164"/>
      <c r="J4" s="164"/>
      <c r="K4" s="133"/>
      <c r="L4" s="133"/>
      <c r="M4" s="133"/>
      <c r="N4" s="174"/>
      <c r="O4" s="175"/>
      <c r="P4" s="176"/>
      <c r="Q4" s="119"/>
      <c r="R4" s="119"/>
    </row>
    <row r="5" spans="1:38" customFormat="1" ht="19.649999999999999" customHeight="1" x14ac:dyDescent="0.3">
      <c r="A5" s="37" t="s">
        <v>151</v>
      </c>
      <c r="B5" s="148"/>
      <c r="C5" s="148"/>
      <c r="D5" s="83"/>
      <c r="E5" s="119"/>
      <c r="F5" s="119"/>
      <c r="G5" s="119"/>
      <c r="H5" s="164"/>
      <c r="I5" s="164"/>
      <c r="J5" s="164"/>
      <c r="K5" s="133"/>
      <c r="L5" s="133"/>
      <c r="M5" s="133"/>
      <c r="N5" s="177"/>
      <c r="O5" s="178"/>
      <c r="P5" s="179"/>
      <c r="Q5" s="119"/>
      <c r="R5" s="119"/>
      <c r="S5" s="167" t="s">
        <v>173</v>
      </c>
      <c r="T5" s="169" t="s">
        <v>147</v>
      </c>
      <c r="U5" s="169" t="s">
        <v>155</v>
      </c>
      <c r="V5" s="169" t="s">
        <v>156</v>
      </c>
      <c r="W5" s="169" t="s">
        <v>157</v>
      </c>
      <c r="X5" s="169" t="s">
        <v>158</v>
      </c>
      <c r="Y5" s="169" t="s">
        <v>159</v>
      </c>
      <c r="Z5" s="7"/>
      <c r="AA5" s="7"/>
      <c r="AB5" s="165" t="s">
        <v>160</v>
      </c>
      <c r="AC5" s="15"/>
      <c r="AL5" s="6"/>
    </row>
    <row r="6" spans="1:38" customFormat="1" ht="22.5" customHeight="1" thickBot="1" x14ac:dyDescent="0.35">
      <c r="A6" s="37" t="s">
        <v>152</v>
      </c>
      <c r="B6" s="120"/>
      <c r="C6" s="120"/>
      <c r="D6" s="80"/>
      <c r="E6" s="121" t="s">
        <v>1070</v>
      </c>
      <c r="F6" s="121"/>
      <c r="G6" s="121"/>
      <c r="H6" s="122" t="s">
        <v>922</v>
      </c>
      <c r="I6" s="122"/>
      <c r="J6" s="122"/>
      <c r="K6" s="122">
        <f>COUNTIF(B13:B19,"On time")</f>
        <v>6</v>
      </c>
      <c r="L6" s="122"/>
      <c r="M6" s="122"/>
      <c r="N6" s="180">
        <f>COUNTIF(B13:B19,"Inprogress")</f>
        <v>1</v>
      </c>
      <c r="O6" s="181"/>
      <c r="P6" s="182"/>
      <c r="Q6" s="136" t="s">
        <v>1189</v>
      </c>
      <c r="R6" s="136"/>
      <c r="S6" s="168"/>
      <c r="T6" s="170"/>
      <c r="U6" s="170"/>
      <c r="V6" s="170"/>
      <c r="W6" s="170"/>
      <c r="X6" s="170"/>
      <c r="Y6" s="170"/>
      <c r="Z6" s="8"/>
      <c r="AA6" s="8"/>
      <c r="AB6" s="166"/>
      <c r="AC6" s="16"/>
    </row>
    <row r="7" spans="1:38" customFormat="1" ht="24.75" customHeight="1" x14ac:dyDescent="0.3">
      <c r="A7" s="38" t="s">
        <v>149</v>
      </c>
      <c r="B7" s="149"/>
      <c r="C7" s="149"/>
      <c r="D7" s="84"/>
      <c r="E7" s="121"/>
      <c r="F7" s="121"/>
      <c r="G7" s="121"/>
      <c r="H7" s="122"/>
      <c r="I7" s="122"/>
      <c r="J7" s="122"/>
      <c r="K7" s="122"/>
      <c r="L7" s="122"/>
      <c r="M7" s="122"/>
      <c r="N7" s="183"/>
      <c r="O7" s="184"/>
      <c r="P7" s="185"/>
      <c r="Q7" s="137">
        <v>0.45833333333333331</v>
      </c>
      <c r="R7" s="137"/>
      <c r="S7" s="17">
        <v>0</v>
      </c>
      <c r="T7" s="11">
        <v>0.05</v>
      </c>
      <c r="U7" s="11">
        <v>0.1</v>
      </c>
      <c r="V7" s="11">
        <v>0.15</v>
      </c>
      <c r="W7" s="11">
        <v>0.11</v>
      </c>
      <c r="X7" s="11">
        <v>0.2</v>
      </c>
      <c r="Y7" s="11">
        <v>0.24</v>
      </c>
      <c r="Z7" s="11">
        <v>0</v>
      </c>
      <c r="AA7" s="11">
        <v>0</v>
      </c>
      <c r="AB7" s="12">
        <v>0.15</v>
      </c>
      <c r="AC7" s="9" t="s">
        <v>171</v>
      </c>
    </row>
    <row r="8" spans="1:38" customFormat="1" ht="37.65" customHeight="1" thickBot="1" x14ac:dyDescent="0.35">
      <c r="A8" s="195" t="s">
        <v>957</v>
      </c>
      <c r="B8" s="195" t="s">
        <v>958</v>
      </c>
      <c r="C8" s="142" t="s">
        <v>959</v>
      </c>
      <c r="D8" s="142" t="s">
        <v>960</v>
      </c>
      <c r="E8" s="140" t="s">
        <v>975</v>
      </c>
      <c r="F8" s="140"/>
      <c r="G8" s="140" t="s">
        <v>974</v>
      </c>
      <c r="H8" s="140"/>
      <c r="I8" s="161" t="s">
        <v>973</v>
      </c>
      <c r="J8" s="162"/>
      <c r="K8" s="162"/>
      <c r="L8" s="162"/>
      <c r="M8" s="162"/>
      <c r="N8" s="162"/>
      <c r="O8" s="162"/>
      <c r="P8" s="163"/>
      <c r="Q8" s="154" t="s">
        <v>970</v>
      </c>
      <c r="R8" s="154" t="s">
        <v>971</v>
      </c>
      <c r="S8" s="18">
        <v>0.15</v>
      </c>
      <c r="T8" s="13">
        <v>0.05</v>
      </c>
      <c r="U8" s="13">
        <v>0.1</v>
      </c>
      <c r="V8" s="13">
        <v>0.15</v>
      </c>
      <c r="W8" s="13">
        <v>0.1</v>
      </c>
      <c r="X8" s="13">
        <v>0.15</v>
      </c>
      <c r="Y8" s="13">
        <v>0.15</v>
      </c>
      <c r="Z8" s="13">
        <v>0</v>
      </c>
      <c r="AA8" s="13">
        <v>0</v>
      </c>
      <c r="AB8" s="14">
        <v>0.15</v>
      </c>
      <c r="AC8" s="10" t="s">
        <v>172</v>
      </c>
    </row>
    <row r="9" spans="1:38" customFormat="1" ht="26.25" customHeight="1" thickBot="1" x14ac:dyDescent="0.35">
      <c r="A9" s="196"/>
      <c r="B9" s="196"/>
      <c r="C9" s="143"/>
      <c r="D9" s="143"/>
      <c r="E9" s="140"/>
      <c r="F9" s="140"/>
      <c r="G9" s="140"/>
      <c r="H9" s="140"/>
      <c r="I9" s="189" t="s">
        <v>964</v>
      </c>
      <c r="J9" s="155" t="s">
        <v>982</v>
      </c>
      <c r="K9" s="153" t="s">
        <v>965</v>
      </c>
      <c r="L9" s="153" t="s">
        <v>966</v>
      </c>
      <c r="M9" s="153" t="s">
        <v>967</v>
      </c>
      <c r="N9" s="153" t="s">
        <v>972</v>
      </c>
      <c r="O9" s="153" t="s">
        <v>968</v>
      </c>
      <c r="P9" s="153" t="s">
        <v>969</v>
      </c>
      <c r="Q9" s="154"/>
      <c r="R9" s="154"/>
      <c r="S9" s="2"/>
      <c r="T9" s="2"/>
      <c r="U9" s="2">
        <v>0.2</v>
      </c>
      <c r="V9" s="2">
        <v>0.3</v>
      </c>
      <c r="W9" s="2"/>
      <c r="X9" s="2"/>
      <c r="AB9" s="14">
        <v>0.5</v>
      </c>
      <c r="AC9" t="s">
        <v>919</v>
      </c>
    </row>
    <row r="10" spans="1:38" customFormat="1" ht="36.450000000000003" customHeight="1" x14ac:dyDescent="0.3">
      <c r="A10" s="196"/>
      <c r="B10" s="196"/>
      <c r="C10" s="143"/>
      <c r="D10" s="143"/>
      <c r="E10" s="145" t="s">
        <v>961</v>
      </c>
      <c r="F10" s="145" t="s">
        <v>962</v>
      </c>
      <c r="G10" s="145" t="s">
        <v>963</v>
      </c>
      <c r="H10" s="145" t="s">
        <v>962</v>
      </c>
      <c r="I10" s="189"/>
      <c r="J10" s="155"/>
      <c r="K10" s="153"/>
      <c r="L10" s="153"/>
      <c r="M10" s="153"/>
      <c r="N10" s="153"/>
      <c r="O10" s="153"/>
      <c r="P10" s="153"/>
      <c r="Q10" s="154"/>
      <c r="R10" s="154"/>
      <c r="T10" s="3"/>
      <c r="U10" s="3"/>
      <c r="V10" s="3"/>
      <c r="W10" s="3"/>
    </row>
    <row r="11" spans="1:38" customFormat="1" ht="40.5" customHeight="1" x14ac:dyDescent="0.3">
      <c r="A11" s="196"/>
      <c r="B11" s="196"/>
      <c r="C11" s="143"/>
      <c r="D11" s="143"/>
      <c r="E11" s="194"/>
      <c r="F11" s="194"/>
      <c r="G11" s="194"/>
      <c r="H11" s="194"/>
      <c r="I11" s="85">
        <v>0.15</v>
      </c>
      <c r="J11" s="85">
        <v>0.05</v>
      </c>
      <c r="K11" s="85">
        <v>0.1</v>
      </c>
      <c r="L11" s="85">
        <v>0.15</v>
      </c>
      <c r="M11" s="85">
        <v>0.1</v>
      </c>
      <c r="N11" s="85">
        <v>0.15</v>
      </c>
      <c r="O11" s="85">
        <v>0.15</v>
      </c>
      <c r="P11" s="85">
        <v>0.15</v>
      </c>
      <c r="Q11" s="190">
        <f>AVERAGE(Q13:Q19)</f>
        <v>1</v>
      </c>
      <c r="R11" s="192">
        <f>AVERAGE(R13:R19)</f>
        <v>0.97857142857142854</v>
      </c>
      <c r="T11" s="3"/>
      <c r="U11" s="3"/>
      <c r="V11" s="3"/>
      <c r="W11" s="3"/>
    </row>
    <row r="12" spans="1:38" customFormat="1" ht="40.5" customHeight="1" x14ac:dyDescent="0.3">
      <c r="A12" s="197"/>
      <c r="B12" s="197"/>
      <c r="C12" s="144"/>
      <c r="D12" s="144"/>
      <c r="E12" s="146"/>
      <c r="F12" s="146"/>
      <c r="G12" s="146"/>
      <c r="H12" s="146"/>
      <c r="I12" s="87">
        <v>0</v>
      </c>
      <c r="J12" s="87">
        <v>0.05</v>
      </c>
      <c r="K12" s="87">
        <v>0.1</v>
      </c>
      <c r="L12" s="87">
        <v>0.15</v>
      </c>
      <c r="M12" s="87">
        <v>0.11</v>
      </c>
      <c r="N12" s="87">
        <v>0.2</v>
      </c>
      <c r="O12" s="87">
        <v>0.24</v>
      </c>
      <c r="P12" s="87">
        <v>0.15</v>
      </c>
      <c r="Q12" s="191"/>
      <c r="R12" s="193"/>
    </row>
    <row r="13" spans="1:38" customFormat="1" ht="65.099999999999994" customHeight="1" x14ac:dyDescent="0.3">
      <c r="A13" s="79">
        <v>7852</v>
      </c>
      <c r="B13" s="30" t="str">
        <f t="shared" ref="B13:B18" si="0">IF(R13=1,"On time","Inprogress")</f>
        <v>On time</v>
      </c>
      <c r="C13" s="48" t="s">
        <v>1031</v>
      </c>
      <c r="D13" s="57" t="s">
        <v>964</v>
      </c>
      <c r="E13" s="50" t="s">
        <v>1016</v>
      </c>
      <c r="F13" s="50" t="s">
        <v>1001</v>
      </c>
      <c r="G13" s="50" t="s">
        <v>1016</v>
      </c>
      <c r="H13" s="50" t="s">
        <v>1085</v>
      </c>
      <c r="I13" s="54">
        <v>1</v>
      </c>
      <c r="J13" s="54">
        <v>1</v>
      </c>
      <c r="K13" s="54">
        <v>1</v>
      </c>
      <c r="L13" s="54">
        <v>1</v>
      </c>
      <c r="M13" s="54">
        <v>1</v>
      </c>
      <c r="N13" s="54">
        <v>1</v>
      </c>
      <c r="O13" s="54">
        <v>1</v>
      </c>
      <c r="P13" s="54">
        <v>1</v>
      </c>
      <c r="Q13" s="55">
        <f>SUMPRODUCT($K$11:$P$11,K13:P13)/0.8</f>
        <v>1</v>
      </c>
      <c r="R13" s="55">
        <f>SUMPRODUCT($I$11:$P$11,I13:P13)</f>
        <v>1</v>
      </c>
      <c r="S13" s="5"/>
      <c r="V13" s="8"/>
      <c r="W13" s="19"/>
      <c r="X13" s="19"/>
    </row>
    <row r="14" spans="1:38" customFormat="1" ht="65.099999999999994" customHeight="1" x14ac:dyDescent="0.3">
      <c r="A14" s="79">
        <v>7886</v>
      </c>
      <c r="B14" s="30" t="str">
        <f t="shared" si="0"/>
        <v>On time</v>
      </c>
      <c r="C14" s="48" t="s">
        <v>1047</v>
      </c>
      <c r="D14" s="57" t="s">
        <v>964</v>
      </c>
      <c r="E14" s="50" t="s">
        <v>953</v>
      </c>
      <c r="F14" s="50" t="s">
        <v>1001</v>
      </c>
      <c r="G14" s="50" t="s">
        <v>953</v>
      </c>
      <c r="H14" s="50" t="s">
        <v>1112</v>
      </c>
      <c r="I14" s="54">
        <v>1</v>
      </c>
      <c r="J14" s="54">
        <v>1</v>
      </c>
      <c r="K14" s="54">
        <v>1</v>
      </c>
      <c r="L14" s="54">
        <v>1</v>
      </c>
      <c r="M14" s="54">
        <v>1</v>
      </c>
      <c r="N14" s="54">
        <v>1</v>
      </c>
      <c r="O14" s="54">
        <v>1</v>
      </c>
      <c r="P14" s="54">
        <v>1</v>
      </c>
      <c r="Q14" s="55">
        <f>SUMPRODUCT($K$11:$P$11,K14:P14)/0.8</f>
        <v>1</v>
      </c>
      <c r="R14" s="55">
        <f>SUMPRODUCT($I$11:$P$11,I14:P14)</f>
        <v>1</v>
      </c>
      <c r="S14" s="5"/>
      <c r="V14" s="8"/>
      <c r="W14" s="19"/>
      <c r="X14" s="19"/>
    </row>
    <row r="15" spans="1:38" customFormat="1" ht="65.099999999999994" customHeight="1" x14ac:dyDescent="0.3">
      <c r="A15" s="79">
        <v>7848</v>
      </c>
      <c r="B15" s="30" t="str">
        <f>IF(R15=1,"On time","Inprogress")</f>
        <v>On time</v>
      </c>
      <c r="C15" s="48" t="s">
        <v>1033</v>
      </c>
      <c r="D15" s="57" t="s">
        <v>964</v>
      </c>
      <c r="E15" s="50" t="s">
        <v>1077</v>
      </c>
      <c r="F15" s="50" t="s">
        <v>1096</v>
      </c>
      <c r="G15" s="50" t="s">
        <v>1077</v>
      </c>
      <c r="H15" s="50" t="s">
        <v>1189</v>
      </c>
      <c r="I15" s="54">
        <v>1</v>
      </c>
      <c r="J15" s="54">
        <v>1</v>
      </c>
      <c r="K15" s="54">
        <v>1</v>
      </c>
      <c r="L15" s="54">
        <v>1</v>
      </c>
      <c r="M15" s="54">
        <v>1</v>
      </c>
      <c r="N15" s="54">
        <v>1</v>
      </c>
      <c r="O15" s="54">
        <v>1</v>
      </c>
      <c r="P15" s="54">
        <v>1</v>
      </c>
      <c r="Q15" s="55">
        <f>SUMPRODUCT($K$11:$P$11,K15:P15)/0.8</f>
        <v>1</v>
      </c>
      <c r="R15" s="55">
        <f>SUMPRODUCT($I$11:$P$11,I15:P15)</f>
        <v>1</v>
      </c>
      <c r="S15" s="5"/>
      <c r="V15" s="8"/>
      <c r="W15" s="19"/>
      <c r="X15" s="19"/>
    </row>
    <row r="16" spans="1:38" customFormat="1" ht="65.099999999999994" customHeight="1" x14ac:dyDescent="0.3">
      <c r="A16" s="79">
        <v>7853</v>
      </c>
      <c r="B16" s="30" t="str">
        <f t="shared" si="0"/>
        <v>On time</v>
      </c>
      <c r="C16" s="48" t="s">
        <v>1030</v>
      </c>
      <c r="D16" s="57" t="s">
        <v>964</v>
      </c>
      <c r="E16" s="50" t="s">
        <v>1083</v>
      </c>
      <c r="F16" s="50" t="s">
        <v>1001</v>
      </c>
      <c r="G16" s="50" t="s">
        <v>1083</v>
      </c>
      <c r="H16" s="50" t="s">
        <v>1112</v>
      </c>
      <c r="I16" s="54">
        <v>1</v>
      </c>
      <c r="J16" s="54">
        <v>1</v>
      </c>
      <c r="K16" s="54">
        <v>1</v>
      </c>
      <c r="L16" s="54">
        <v>1</v>
      </c>
      <c r="M16" s="54">
        <v>1</v>
      </c>
      <c r="N16" s="54">
        <v>1</v>
      </c>
      <c r="O16" s="54">
        <v>1</v>
      </c>
      <c r="P16" s="54">
        <v>1</v>
      </c>
      <c r="Q16" s="55">
        <f>SUMPRODUCT($K$11:$P$11,K16:P16)/0.8</f>
        <v>1</v>
      </c>
      <c r="R16" s="55">
        <f>SUMPRODUCT($I$11:$P$11,I16:P16)</f>
        <v>1</v>
      </c>
      <c r="S16" s="5"/>
      <c r="V16" s="8"/>
      <c r="W16" s="19"/>
      <c r="X16" s="19"/>
    </row>
    <row r="17" spans="1:16382" customFormat="1" ht="65.099999999999994" customHeight="1" x14ac:dyDescent="0.3">
      <c r="A17" s="79">
        <v>7885</v>
      </c>
      <c r="B17" s="30" t="str">
        <f t="shared" si="0"/>
        <v>On time</v>
      </c>
      <c r="C17" s="48" t="s">
        <v>1048</v>
      </c>
      <c r="D17" s="57" t="s">
        <v>964</v>
      </c>
      <c r="E17" s="50" t="s">
        <v>1018</v>
      </c>
      <c r="F17" s="50" t="s">
        <v>1001</v>
      </c>
      <c r="G17" s="50" t="s">
        <v>1101</v>
      </c>
      <c r="H17" s="50" t="s">
        <v>1112</v>
      </c>
      <c r="I17" s="54">
        <v>1</v>
      </c>
      <c r="J17" s="54">
        <v>1</v>
      </c>
      <c r="K17" s="54">
        <v>1</v>
      </c>
      <c r="L17" s="54">
        <v>1</v>
      </c>
      <c r="M17" s="54">
        <v>1</v>
      </c>
      <c r="N17" s="54">
        <v>1</v>
      </c>
      <c r="O17" s="54">
        <v>1</v>
      </c>
      <c r="P17" s="54">
        <v>1</v>
      </c>
      <c r="Q17" s="55">
        <f>SUMPRODUCT($K$11:$P$11,K17:P17)/0.8</f>
        <v>1</v>
      </c>
      <c r="R17" s="55">
        <f>SUMPRODUCT($I$11:$P$11,I17:P17)</f>
        <v>1</v>
      </c>
      <c r="S17" s="5"/>
      <c r="V17" s="8"/>
      <c r="W17" s="19"/>
      <c r="X17" s="19"/>
    </row>
    <row r="18" spans="1:16382" customFormat="1" ht="65.099999999999994" customHeight="1" x14ac:dyDescent="0.3">
      <c r="A18" s="79">
        <v>7851</v>
      </c>
      <c r="B18" s="30" t="str">
        <f t="shared" si="0"/>
        <v>Inprogress</v>
      </c>
      <c r="C18" s="48" t="s">
        <v>1032</v>
      </c>
      <c r="D18" s="57" t="s">
        <v>993</v>
      </c>
      <c r="E18" s="50"/>
      <c r="F18" s="50" t="s">
        <v>1081</v>
      </c>
      <c r="G18" s="50"/>
      <c r="H18" s="50" t="s">
        <v>1114</v>
      </c>
      <c r="I18" s="54"/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5">
        <f t="shared" ref="Q18:Q19" si="1">SUMPRODUCT($K$11:$P$11,K18:P18)/0.8</f>
        <v>1</v>
      </c>
      <c r="R18" s="55">
        <f t="shared" ref="R18" si="2">SUMPRODUCT($I$11:$P$11,I18:P18)</f>
        <v>0.85000000000000009</v>
      </c>
      <c r="S18" s="5"/>
      <c r="V18" s="8"/>
      <c r="W18" s="19"/>
      <c r="X18" s="19"/>
    </row>
    <row r="19" spans="1:16382" customFormat="1" ht="65.099999999999994" customHeight="1" x14ac:dyDescent="0.3">
      <c r="A19" s="79">
        <v>8440</v>
      </c>
      <c r="B19" s="30" t="str">
        <f t="shared" ref="B19" si="3">IF(R19=1,"On time","Inprogress")</f>
        <v>On time</v>
      </c>
      <c r="C19" s="48" t="s">
        <v>1187</v>
      </c>
      <c r="D19" s="57" t="s">
        <v>993</v>
      </c>
      <c r="E19" s="50"/>
      <c r="F19" s="50" t="s">
        <v>1018</v>
      </c>
      <c r="G19" s="50"/>
      <c r="H19" s="50" t="s">
        <v>1114</v>
      </c>
      <c r="I19" s="54"/>
      <c r="J19" s="54">
        <v>1</v>
      </c>
      <c r="K19" s="54">
        <v>1</v>
      </c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5">
        <f t="shared" si="1"/>
        <v>1</v>
      </c>
      <c r="R19" s="55">
        <v>1</v>
      </c>
      <c r="S19" s="5"/>
      <c r="V19" s="8"/>
      <c r="W19" s="19"/>
      <c r="X19" s="19"/>
    </row>
    <row r="20" spans="1:16382" ht="65.099999999999994" customHeight="1" x14ac:dyDescent="0.3">
      <c r="A20" s="105">
        <v>7847</v>
      </c>
      <c r="B20" s="30" t="str">
        <f t="shared" ref="B20:B22" si="4">IF(R20=1,"On time","Inprogress")</f>
        <v>Inprogress</v>
      </c>
      <c r="C20" s="48" t="s">
        <v>1115</v>
      </c>
      <c r="D20" s="57" t="s">
        <v>964</v>
      </c>
      <c r="E20" s="50" t="s">
        <v>1113</v>
      </c>
      <c r="F20" s="50" t="s">
        <v>1114</v>
      </c>
      <c r="G20" s="50" t="s">
        <v>1113</v>
      </c>
      <c r="H20" s="50"/>
      <c r="I20" s="54">
        <v>1</v>
      </c>
      <c r="J20" s="54">
        <v>1</v>
      </c>
      <c r="K20" s="54">
        <v>1</v>
      </c>
      <c r="L20" s="54">
        <v>1</v>
      </c>
      <c r="M20" s="54">
        <v>1</v>
      </c>
      <c r="N20" s="54">
        <v>1</v>
      </c>
      <c r="O20" s="54">
        <v>0</v>
      </c>
      <c r="P20" s="54">
        <v>0</v>
      </c>
      <c r="Q20" s="55">
        <f t="shared" ref="Q20" si="5">SUMPRODUCT($K$11:$P$11,K20:P20)/0.8</f>
        <v>0.625</v>
      </c>
      <c r="R20" s="55">
        <f t="shared" ref="R20" si="6">SUMPRODUCT($I$11:$P$11,I20:P20)</f>
        <v>0.70000000000000007</v>
      </c>
    </row>
    <row r="21" spans="1:16382" ht="65.099999999999994" customHeight="1" x14ac:dyDescent="0.3">
      <c r="A21" s="111">
        <v>7845</v>
      </c>
      <c r="B21" s="30" t="str">
        <f t="shared" si="4"/>
        <v>On time</v>
      </c>
      <c r="C21" s="48" t="s">
        <v>1042</v>
      </c>
      <c r="D21" s="57" t="s">
        <v>964</v>
      </c>
      <c r="E21" s="50"/>
      <c r="F21" s="50"/>
      <c r="G21" s="50"/>
      <c r="H21" s="50" t="s">
        <v>1184</v>
      </c>
      <c r="I21" s="54">
        <v>1</v>
      </c>
      <c r="J21" s="54">
        <v>1</v>
      </c>
      <c r="K21" s="54">
        <v>1</v>
      </c>
      <c r="L21" s="54">
        <v>1</v>
      </c>
      <c r="M21" s="54">
        <v>1</v>
      </c>
      <c r="N21" s="54">
        <v>1</v>
      </c>
      <c r="O21" s="54">
        <v>1</v>
      </c>
      <c r="P21" s="54">
        <v>1</v>
      </c>
      <c r="Q21" s="54">
        <v>1</v>
      </c>
      <c r="R21" s="54">
        <v>1</v>
      </c>
    </row>
    <row r="22" spans="1:16382" ht="65.099999999999994" customHeight="1" x14ac:dyDescent="0.3">
      <c r="A22" s="111">
        <v>7854</v>
      </c>
      <c r="B22" s="30" t="str">
        <f t="shared" si="4"/>
        <v>On time</v>
      </c>
      <c r="C22" s="48" t="s">
        <v>1029</v>
      </c>
      <c r="D22" s="57" t="s">
        <v>964</v>
      </c>
      <c r="E22" s="50"/>
      <c r="F22" s="50"/>
      <c r="G22" s="50"/>
      <c r="H22" s="50" t="s">
        <v>1184</v>
      </c>
      <c r="I22" s="54">
        <v>1</v>
      </c>
      <c r="J22" s="54">
        <v>1</v>
      </c>
      <c r="K22" s="54">
        <v>1</v>
      </c>
      <c r="L22" s="54">
        <v>1</v>
      </c>
      <c r="M22" s="54">
        <v>1</v>
      </c>
      <c r="N22" s="54">
        <v>1</v>
      </c>
      <c r="O22" s="54">
        <v>1</v>
      </c>
      <c r="P22" s="54">
        <v>1</v>
      </c>
      <c r="Q22" s="54">
        <v>1</v>
      </c>
      <c r="R22" s="54">
        <v>1</v>
      </c>
    </row>
    <row r="23" spans="1:16382" ht="65.099999999999994" customHeight="1" x14ac:dyDescent="0.3">
      <c r="A23" s="118">
        <v>7856</v>
      </c>
      <c r="B23" s="30" t="s">
        <v>151</v>
      </c>
      <c r="C23" s="48" t="s">
        <v>1027</v>
      </c>
      <c r="D23" s="57" t="s">
        <v>964</v>
      </c>
      <c r="E23" s="50" t="s">
        <v>1117</v>
      </c>
      <c r="F23" s="50" t="s">
        <v>1183</v>
      </c>
      <c r="G23" s="50" t="s">
        <v>1117</v>
      </c>
      <c r="H23" s="50"/>
      <c r="I23" s="54">
        <v>1</v>
      </c>
      <c r="J23" s="54">
        <v>1</v>
      </c>
      <c r="K23" s="54">
        <v>1</v>
      </c>
      <c r="L23" s="54">
        <v>1</v>
      </c>
      <c r="M23" s="54">
        <v>1</v>
      </c>
      <c r="N23" s="54">
        <v>1</v>
      </c>
      <c r="O23" s="54">
        <v>0</v>
      </c>
      <c r="P23" s="54">
        <v>0</v>
      </c>
      <c r="Q23" s="55">
        <f t="shared" ref="Q23" si="7">SUMPRODUCT($K$11:$P$11,K23:P23)/0.8</f>
        <v>0.625</v>
      </c>
      <c r="R23" s="55">
        <f t="shared" ref="R23" si="8">SUMPRODUCT($I$11:$P$11,I23:P23)</f>
        <v>0.70000000000000007</v>
      </c>
      <c r="S23" s="5"/>
      <c r="T23"/>
      <c r="U23"/>
      <c r="V23" s="8"/>
      <c r="W23" s="19"/>
      <c r="X23" s="19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  <c r="CBX23"/>
      <c r="CBY23"/>
      <c r="CBZ23"/>
      <c r="CCA23"/>
      <c r="CCB23"/>
      <c r="CCC23"/>
      <c r="CCD23"/>
      <c r="CCE23"/>
      <c r="CCF23"/>
      <c r="CCG23"/>
      <c r="CCH23"/>
      <c r="CCI23"/>
      <c r="CCJ23"/>
      <c r="CCK23"/>
      <c r="CCL23"/>
      <c r="CCM23"/>
      <c r="CCN23"/>
      <c r="CCO23"/>
      <c r="CCP23"/>
      <c r="CCQ23"/>
      <c r="CCR23"/>
      <c r="CCS23"/>
      <c r="CCT23"/>
      <c r="CCU23"/>
      <c r="CCV23"/>
      <c r="CCW23"/>
      <c r="CCX23"/>
      <c r="CCY23"/>
      <c r="CCZ23"/>
      <c r="CDA23"/>
      <c r="CDB23"/>
      <c r="CDC23"/>
      <c r="CDD23"/>
      <c r="CDE23"/>
      <c r="CDF23"/>
      <c r="CDG23"/>
      <c r="CDH23"/>
      <c r="CDI23"/>
      <c r="CDJ23"/>
      <c r="CDK23"/>
      <c r="CDL23"/>
      <c r="CDM23"/>
      <c r="CDN23"/>
      <c r="CDO23"/>
      <c r="CDP23"/>
      <c r="CDQ23"/>
      <c r="CDR23"/>
      <c r="CDS23"/>
      <c r="CDT23"/>
      <c r="CDU23"/>
      <c r="CDV23"/>
      <c r="CDW23"/>
      <c r="CDX23"/>
      <c r="CDY23"/>
      <c r="CDZ23"/>
      <c r="CEA23"/>
      <c r="CEB23"/>
      <c r="CEC23"/>
      <c r="CED23"/>
      <c r="CEE23"/>
      <c r="CEF23"/>
      <c r="CEG23"/>
      <c r="CEH23"/>
      <c r="CEI23"/>
      <c r="CEJ23"/>
      <c r="CEK23"/>
      <c r="CEL23"/>
      <c r="CEM23"/>
      <c r="CEN23"/>
      <c r="CEO23"/>
      <c r="CEP23"/>
      <c r="CEQ23"/>
      <c r="CER23"/>
      <c r="CES23"/>
      <c r="CET23"/>
      <c r="CEU23"/>
      <c r="CEV23"/>
      <c r="CEW23"/>
      <c r="CEX23"/>
      <c r="CEY23"/>
      <c r="CEZ23"/>
      <c r="CFA23"/>
      <c r="CFB23"/>
      <c r="CFC23"/>
      <c r="CFD23"/>
      <c r="CFE23"/>
      <c r="CFF23"/>
      <c r="CFG23"/>
      <c r="CFH23"/>
      <c r="CFI23"/>
      <c r="CFJ23"/>
      <c r="CFK23"/>
      <c r="CFL23"/>
      <c r="CFM23"/>
      <c r="CFN23"/>
      <c r="CFO23"/>
      <c r="CFP23"/>
      <c r="CFQ23"/>
      <c r="CFR23"/>
      <c r="CFS23"/>
      <c r="CFT23"/>
      <c r="CFU23"/>
      <c r="CFV23"/>
      <c r="CFW23"/>
      <c r="CFX23"/>
      <c r="CFY23"/>
      <c r="CFZ23"/>
      <c r="CGA23"/>
      <c r="CGB23"/>
      <c r="CGC23"/>
      <c r="CGD23"/>
      <c r="CGE23"/>
      <c r="CGF23"/>
      <c r="CGG23"/>
      <c r="CGH23"/>
      <c r="CGI23"/>
      <c r="CGJ23"/>
      <c r="CGK23"/>
      <c r="CGL23"/>
      <c r="CGM23"/>
      <c r="CGN23"/>
      <c r="CGO23"/>
      <c r="CGP23"/>
      <c r="CGQ23"/>
      <c r="CGR23"/>
      <c r="CGS23"/>
      <c r="CGT23"/>
      <c r="CGU23"/>
      <c r="CGV23"/>
      <c r="CGW23"/>
      <c r="CGX23"/>
      <c r="CGY23"/>
      <c r="CGZ23"/>
      <c r="CHA23"/>
      <c r="CHB23"/>
      <c r="CHC23"/>
      <c r="CHD23"/>
      <c r="CHE23"/>
      <c r="CHF23"/>
      <c r="CHG23"/>
      <c r="CHH23"/>
      <c r="CHI23"/>
      <c r="CHJ23"/>
      <c r="CHK23"/>
      <c r="CHL23"/>
      <c r="CHM23"/>
      <c r="CHN23"/>
      <c r="CHO23"/>
      <c r="CHP23"/>
      <c r="CHQ23"/>
      <c r="CHR23"/>
      <c r="CHS23"/>
      <c r="CHT23"/>
      <c r="CHU23"/>
      <c r="CHV23"/>
      <c r="CHW23"/>
      <c r="CHX23"/>
      <c r="CHY23"/>
      <c r="CHZ23"/>
      <c r="CIA23"/>
      <c r="CIB23"/>
      <c r="CIC23"/>
      <c r="CID23"/>
      <c r="CIE23"/>
      <c r="CIF23"/>
      <c r="CIG23"/>
      <c r="CIH23"/>
      <c r="CII23"/>
      <c r="CIJ23"/>
      <c r="CIK23"/>
      <c r="CIL23"/>
      <c r="CIM23"/>
      <c r="CIN23"/>
      <c r="CIO23"/>
      <c r="CIP23"/>
      <c r="CIQ23"/>
      <c r="CIR23"/>
      <c r="CIS23"/>
      <c r="CIT23"/>
      <c r="CIU23"/>
      <c r="CIV23"/>
      <c r="CIW23"/>
      <c r="CIX23"/>
      <c r="CIY23"/>
      <c r="CIZ23"/>
      <c r="CJA23"/>
      <c r="CJB23"/>
      <c r="CJC23"/>
      <c r="CJD23"/>
      <c r="CJE23"/>
      <c r="CJF23"/>
      <c r="CJG23"/>
      <c r="CJH23"/>
      <c r="CJI23"/>
      <c r="CJJ23"/>
      <c r="CJK23"/>
      <c r="CJL23"/>
      <c r="CJM23"/>
      <c r="CJN23"/>
      <c r="CJO23"/>
      <c r="CJP23"/>
      <c r="CJQ23"/>
      <c r="CJR23"/>
      <c r="CJS23"/>
      <c r="CJT23"/>
      <c r="CJU23"/>
      <c r="CJV23"/>
      <c r="CJW23"/>
      <c r="CJX23"/>
      <c r="CJY23"/>
      <c r="CJZ23"/>
      <c r="CKA23"/>
      <c r="CKB23"/>
      <c r="CKC23"/>
      <c r="CKD23"/>
      <c r="CKE23"/>
      <c r="CKF23"/>
      <c r="CKG23"/>
      <c r="CKH23"/>
      <c r="CKI23"/>
      <c r="CKJ23"/>
      <c r="CKK23"/>
      <c r="CKL23"/>
      <c r="CKM23"/>
      <c r="CKN23"/>
      <c r="CKO23"/>
      <c r="CKP23"/>
      <c r="CKQ23"/>
      <c r="CKR23"/>
      <c r="CKS23"/>
      <c r="CKT23"/>
      <c r="CKU23"/>
      <c r="CKV23"/>
      <c r="CKW23"/>
      <c r="CKX23"/>
      <c r="CKY23"/>
      <c r="CKZ23"/>
      <c r="CLA23"/>
      <c r="CLB23"/>
      <c r="CLC23"/>
      <c r="CLD23"/>
      <c r="CLE23"/>
      <c r="CLF23"/>
      <c r="CLG23"/>
      <c r="CLH23"/>
      <c r="CLI23"/>
      <c r="CLJ23"/>
      <c r="CLK23"/>
      <c r="CLL23"/>
      <c r="CLM23"/>
      <c r="CLN23"/>
      <c r="CLO23"/>
      <c r="CLP23"/>
      <c r="CLQ23"/>
      <c r="CLR23"/>
      <c r="CLS23"/>
      <c r="CLT23"/>
      <c r="CLU23"/>
      <c r="CLV23"/>
      <c r="CLW23"/>
      <c r="CLX23"/>
      <c r="CLY23"/>
      <c r="CLZ23"/>
      <c r="CMA23"/>
      <c r="CMB23"/>
      <c r="CMC23"/>
      <c r="CMD23"/>
      <c r="CME23"/>
      <c r="CMF23"/>
      <c r="CMG23"/>
      <c r="CMH23"/>
      <c r="CMI23"/>
      <c r="CMJ23"/>
      <c r="CMK23"/>
      <c r="CML23"/>
      <c r="CMM23"/>
      <c r="CMN23"/>
      <c r="CMO23"/>
      <c r="CMP23"/>
      <c r="CMQ23"/>
      <c r="CMR23"/>
      <c r="CMS23"/>
      <c r="CMT23"/>
      <c r="CMU23"/>
      <c r="CMV23"/>
      <c r="CMW23"/>
      <c r="CMX23"/>
      <c r="CMY23"/>
      <c r="CMZ23"/>
      <c r="CNA23"/>
      <c r="CNB23"/>
      <c r="CNC23"/>
      <c r="CND23"/>
      <c r="CNE23"/>
      <c r="CNF23"/>
      <c r="CNG23"/>
      <c r="CNH23"/>
      <c r="CNI23"/>
      <c r="CNJ23"/>
      <c r="CNK23"/>
      <c r="CNL23"/>
      <c r="CNM23"/>
      <c r="CNN23"/>
      <c r="CNO23"/>
      <c r="CNP23"/>
      <c r="CNQ23"/>
      <c r="CNR23"/>
      <c r="CNS23"/>
      <c r="CNT23"/>
      <c r="CNU23"/>
      <c r="CNV23"/>
      <c r="CNW23"/>
      <c r="CNX23"/>
      <c r="CNY23"/>
      <c r="CNZ23"/>
      <c r="COA23"/>
      <c r="COB23"/>
      <c r="COC23"/>
      <c r="COD23"/>
      <c r="COE23"/>
      <c r="COF23"/>
      <c r="COG23"/>
      <c r="COH23"/>
      <c r="COI23"/>
      <c r="COJ23"/>
      <c r="COK23"/>
      <c r="COL23"/>
      <c r="COM23"/>
      <c r="CON23"/>
      <c r="COO23"/>
      <c r="COP23"/>
      <c r="COQ23"/>
      <c r="COR23"/>
      <c r="COS23"/>
      <c r="COT23"/>
      <c r="COU23"/>
      <c r="COV23"/>
      <c r="COW23"/>
      <c r="COX23"/>
      <c r="COY23"/>
      <c r="COZ23"/>
      <c r="CPA23"/>
      <c r="CPB23"/>
      <c r="CPC23"/>
      <c r="CPD23"/>
      <c r="CPE23"/>
      <c r="CPF23"/>
      <c r="CPG23"/>
      <c r="CPH23"/>
      <c r="CPI23"/>
      <c r="CPJ23"/>
      <c r="CPK23"/>
      <c r="CPL23"/>
      <c r="CPM23"/>
      <c r="CPN23"/>
      <c r="CPO23"/>
      <c r="CPP23"/>
      <c r="CPQ23"/>
      <c r="CPR23"/>
      <c r="CPS23"/>
      <c r="CPT23"/>
      <c r="CPU23"/>
      <c r="CPV23"/>
      <c r="CPW23"/>
      <c r="CPX23"/>
      <c r="CPY23"/>
      <c r="CPZ23"/>
      <c r="CQA23"/>
      <c r="CQB23"/>
      <c r="CQC23"/>
      <c r="CQD23"/>
      <c r="CQE23"/>
      <c r="CQF23"/>
      <c r="CQG23"/>
      <c r="CQH23"/>
      <c r="CQI23"/>
      <c r="CQJ23"/>
      <c r="CQK23"/>
      <c r="CQL23"/>
      <c r="CQM23"/>
      <c r="CQN23"/>
      <c r="CQO23"/>
      <c r="CQP23"/>
      <c r="CQQ23"/>
      <c r="CQR23"/>
      <c r="CQS23"/>
      <c r="CQT23"/>
      <c r="CQU23"/>
      <c r="CQV23"/>
      <c r="CQW23"/>
      <c r="CQX23"/>
      <c r="CQY23"/>
      <c r="CQZ23"/>
      <c r="CRA23"/>
      <c r="CRB23"/>
      <c r="CRC23"/>
      <c r="CRD23"/>
      <c r="CRE23"/>
      <c r="CRF23"/>
      <c r="CRG23"/>
      <c r="CRH23"/>
      <c r="CRI23"/>
      <c r="CRJ23"/>
      <c r="CRK23"/>
      <c r="CRL23"/>
      <c r="CRM23"/>
      <c r="CRN23"/>
      <c r="CRO23"/>
      <c r="CRP23"/>
      <c r="CRQ23"/>
      <c r="CRR23"/>
      <c r="CRS23"/>
      <c r="CRT23"/>
      <c r="CRU23"/>
      <c r="CRV23"/>
      <c r="CRW23"/>
      <c r="CRX23"/>
      <c r="CRY23"/>
      <c r="CRZ23"/>
      <c r="CSA23"/>
      <c r="CSB23"/>
      <c r="CSC23"/>
      <c r="CSD23"/>
      <c r="CSE23"/>
      <c r="CSF23"/>
      <c r="CSG23"/>
      <c r="CSH23"/>
      <c r="CSI23"/>
      <c r="CSJ23"/>
      <c r="CSK23"/>
      <c r="CSL23"/>
      <c r="CSM23"/>
      <c r="CSN23"/>
      <c r="CSO23"/>
      <c r="CSP23"/>
      <c r="CSQ23"/>
      <c r="CSR23"/>
      <c r="CSS23"/>
      <c r="CST23"/>
      <c r="CSU23"/>
      <c r="CSV23"/>
      <c r="CSW23"/>
      <c r="CSX23"/>
      <c r="CSY23"/>
      <c r="CSZ23"/>
      <c r="CTA23"/>
      <c r="CTB23"/>
      <c r="CTC23"/>
      <c r="CTD23"/>
      <c r="CTE23"/>
      <c r="CTF23"/>
      <c r="CTG23"/>
      <c r="CTH23"/>
      <c r="CTI23"/>
      <c r="CTJ23"/>
      <c r="CTK23"/>
      <c r="CTL23"/>
      <c r="CTM23"/>
      <c r="CTN23"/>
      <c r="CTO23"/>
      <c r="CTP23"/>
      <c r="CTQ23"/>
      <c r="CTR23"/>
      <c r="CTS23"/>
      <c r="CTT23"/>
      <c r="CTU23"/>
      <c r="CTV23"/>
      <c r="CTW23"/>
      <c r="CTX23"/>
      <c r="CTY23"/>
      <c r="CTZ23"/>
      <c r="CUA23"/>
      <c r="CUB23"/>
      <c r="CUC23"/>
      <c r="CUD23"/>
      <c r="CUE23"/>
      <c r="CUF23"/>
      <c r="CUG23"/>
      <c r="CUH23"/>
      <c r="CUI23"/>
      <c r="CUJ23"/>
      <c r="CUK23"/>
      <c r="CUL23"/>
      <c r="CUM23"/>
      <c r="CUN23"/>
      <c r="CUO23"/>
      <c r="CUP23"/>
      <c r="CUQ23"/>
      <c r="CUR23"/>
      <c r="CUS23"/>
      <c r="CUT23"/>
      <c r="CUU23"/>
      <c r="CUV23"/>
      <c r="CUW23"/>
      <c r="CUX23"/>
      <c r="CUY23"/>
      <c r="CUZ23"/>
      <c r="CVA23"/>
      <c r="CVB23"/>
      <c r="CVC23"/>
      <c r="CVD23"/>
      <c r="CVE23"/>
      <c r="CVF23"/>
      <c r="CVG23"/>
      <c r="CVH23"/>
      <c r="CVI23"/>
      <c r="CVJ23"/>
      <c r="CVK23"/>
      <c r="CVL23"/>
      <c r="CVM23"/>
      <c r="CVN23"/>
      <c r="CVO23"/>
      <c r="CVP23"/>
      <c r="CVQ23"/>
      <c r="CVR23"/>
      <c r="CVS23"/>
      <c r="CVT23"/>
      <c r="CVU23"/>
      <c r="CVV23"/>
      <c r="CVW23"/>
      <c r="CVX23"/>
      <c r="CVY23"/>
      <c r="CVZ23"/>
      <c r="CWA23"/>
      <c r="CWB23"/>
      <c r="CWC23"/>
      <c r="CWD23"/>
      <c r="CWE23"/>
      <c r="CWF23"/>
      <c r="CWG23"/>
      <c r="CWH23"/>
      <c r="CWI23"/>
      <c r="CWJ23"/>
      <c r="CWK23"/>
      <c r="CWL23"/>
      <c r="CWM23"/>
      <c r="CWN23"/>
      <c r="CWO23"/>
      <c r="CWP23"/>
      <c r="CWQ23"/>
      <c r="CWR23"/>
      <c r="CWS23"/>
      <c r="CWT23"/>
      <c r="CWU23"/>
      <c r="CWV23"/>
      <c r="CWW23"/>
      <c r="CWX23"/>
      <c r="CWY23"/>
      <c r="CWZ23"/>
      <c r="CXA23"/>
      <c r="CXB23"/>
      <c r="CXC23"/>
      <c r="CXD23"/>
      <c r="CXE23"/>
      <c r="CXF23"/>
      <c r="CXG23"/>
      <c r="CXH23"/>
      <c r="CXI23"/>
      <c r="CXJ23"/>
      <c r="CXK23"/>
      <c r="CXL23"/>
      <c r="CXM23"/>
      <c r="CXN23"/>
      <c r="CXO23"/>
      <c r="CXP23"/>
      <c r="CXQ23"/>
      <c r="CXR23"/>
      <c r="CXS23"/>
      <c r="CXT23"/>
      <c r="CXU23"/>
      <c r="CXV23"/>
      <c r="CXW23"/>
      <c r="CXX23"/>
      <c r="CXY23"/>
      <c r="CXZ23"/>
      <c r="CYA23"/>
      <c r="CYB23"/>
      <c r="CYC23"/>
      <c r="CYD23"/>
      <c r="CYE23"/>
      <c r="CYF23"/>
      <c r="CYG23"/>
      <c r="CYH23"/>
      <c r="CYI23"/>
      <c r="CYJ23"/>
      <c r="CYK23"/>
      <c r="CYL23"/>
      <c r="CYM23"/>
      <c r="CYN23"/>
      <c r="CYO23"/>
      <c r="CYP23"/>
      <c r="CYQ23"/>
      <c r="CYR23"/>
      <c r="CYS23"/>
      <c r="CYT23"/>
      <c r="CYU23"/>
      <c r="CYV23"/>
      <c r="CYW23"/>
      <c r="CYX23"/>
      <c r="CYY23"/>
      <c r="CYZ23"/>
      <c r="CZA23"/>
      <c r="CZB23"/>
      <c r="CZC23"/>
      <c r="CZD23"/>
      <c r="CZE23"/>
      <c r="CZF23"/>
      <c r="CZG23"/>
      <c r="CZH23"/>
      <c r="CZI23"/>
      <c r="CZJ23"/>
      <c r="CZK23"/>
      <c r="CZL23"/>
      <c r="CZM23"/>
      <c r="CZN23"/>
      <c r="CZO23"/>
      <c r="CZP23"/>
      <c r="CZQ23"/>
      <c r="CZR23"/>
      <c r="CZS23"/>
      <c r="CZT23"/>
      <c r="CZU23"/>
      <c r="CZV23"/>
      <c r="CZW23"/>
      <c r="CZX23"/>
      <c r="CZY23"/>
      <c r="CZZ23"/>
      <c r="DAA23"/>
      <c r="DAB23"/>
      <c r="DAC23"/>
      <c r="DAD23"/>
      <c r="DAE23"/>
      <c r="DAF23"/>
      <c r="DAG23"/>
      <c r="DAH23"/>
      <c r="DAI23"/>
      <c r="DAJ23"/>
      <c r="DAK23"/>
      <c r="DAL23"/>
      <c r="DAM23"/>
      <c r="DAN23"/>
      <c r="DAO23"/>
      <c r="DAP23"/>
      <c r="DAQ23"/>
      <c r="DAR23"/>
      <c r="DAS23"/>
      <c r="DAT23"/>
      <c r="DAU23"/>
      <c r="DAV23"/>
      <c r="DAW23"/>
      <c r="DAX23"/>
      <c r="DAY23"/>
      <c r="DAZ23"/>
      <c r="DBA23"/>
      <c r="DBB23"/>
      <c r="DBC23"/>
      <c r="DBD23"/>
      <c r="DBE23"/>
      <c r="DBF23"/>
      <c r="DBG23"/>
      <c r="DBH23"/>
      <c r="DBI23"/>
      <c r="DBJ23"/>
      <c r="DBK23"/>
      <c r="DBL23"/>
      <c r="DBM23"/>
      <c r="DBN23"/>
      <c r="DBO23"/>
      <c r="DBP23"/>
      <c r="DBQ23"/>
      <c r="DBR23"/>
      <c r="DBS23"/>
      <c r="DBT23"/>
      <c r="DBU23"/>
      <c r="DBV23"/>
      <c r="DBW23"/>
      <c r="DBX23"/>
      <c r="DBY23"/>
      <c r="DBZ23"/>
      <c r="DCA23"/>
      <c r="DCB23"/>
      <c r="DCC23"/>
      <c r="DCD23"/>
      <c r="DCE23"/>
      <c r="DCF23"/>
      <c r="DCG23"/>
      <c r="DCH23"/>
      <c r="DCI23"/>
      <c r="DCJ23"/>
      <c r="DCK23"/>
      <c r="DCL23"/>
      <c r="DCM23"/>
      <c r="DCN23"/>
      <c r="DCO23"/>
      <c r="DCP23"/>
      <c r="DCQ23"/>
      <c r="DCR23"/>
      <c r="DCS23"/>
      <c r="DCT23"/>
      <c r="DCU23"/>
      <c r="DCV23"/>
      <c r="DCW23"/>
      <c r="DCX23"/>
      <c r="DCY23"/>
      <c r="DCZ23"/>
      <c r="DDA23"/>
      <c r="DDB23"/>
      <c r="DDC23"/>
      <c r="DDD23"/>
      <c r="DDE23"/>
      <c r="DDF23"/>
      <c r="DDG23"/>
      <c r="DDH23"/>
      <c r="DDI23"/>
      <c r="DDJ23"/>
      <c r="DDK23"/>
      <c r="DDL23"/>
      <c r="DDM23"/>
      <c r="DDN23"/>
      <c r="DDO23"/>
      <c r="DDP23"/>
      <c r="DDQ23"/>
      <c r="DDR23"/>
      <c r="DDS23"/>
      <c r="DDT23"/>
      <c r="DDU23"/>
      <c r="DDV23"/>
      <c r="DDW23"/>
      <c r="DDX23"/>
      <c r="DDY23"/>
      <c r="DDZ23"/>
      <c r="DEA23"/>
      <c r="DEB23"/>
      <c r="DEC23"/>
      <c r="DED23"/>
      <c r="DEE23"/>
      <c r="DEF23"/>
      <c r="DEG23"/>
      <c r="DEH23"/>
      <c r="DEI23"/>
      <c r="DEJ23"/>
      <c r="DEK23"/>
      <c r="DEL23"/>
      <c r="DEM23"/>
      <c r="DEN23"/>
      <c r="DEO23"/>
      <c r="DEP23"/>
      <c r="DEQ23"/>
      <c r="DER23"/>
      <c r="DES23"/>
      <c r="DET23"/>
      <c r="DEU23"/>
      <c r="DEV23"/>
      <c r="DEW23"/>
      <c r="DEX23"/>
      <c r="DEY23"/>
      <c r="DEZ23"/>
      <c r="DFA23"/>
      <c r="DFB23"/>
      <c r="DFC23"/>
      <c r="DFD23"/>
      <c r="DFE23"/>
      <c r="DFF23"/>
      <c r="DFG23"/>
      <c r="DFH23"/>
      <c r="DFI23"/>
      <c r="DFJ23"/>
      <c r="DFK23"/>
      <c r="DFL23"/>
      <c r="DFM23"/>
      <c r="DFN23"/>
      <c r="DFO23"/>
      <c r="DFP23"/>
      <c r="DFQ23"/>
      <c r="DFR23"/>
      <c r="DFS23"/>
      <c r="DFT23"/>
      <c r="DFU23"/>
      <c r="DFV23"/>
      <c r="DFW23"/>
      <c r="DFX23"/>
      <c r="DFY23"/>
      <c r="DFZ23"/>
      <c r="DGA23"/>
      <c r="DGB23"/>
      <c r="DGC23"/>
      <c r="DGD23"/>
      <c r="DGE23"/>
      <c r="DGF23"/>
      <c r="DGG23"/>
      <c r="DGH23"/>
      <c r="DGI23"/>
      <c r="DGJ23"/>
      <c r="DGK23"/>
      <c r="DGL23"/>
      <c r="DGM23"/>
      <c r="DGN23"/>
      <c r="DGO23"/>
      <c r="DGP23"/>
      <c r="DGQ23"/>
      <c r="DGR23"/>
      <c r="DGS23"/>
      <c r="DGT23"/>
      <c r="DGU23"/>
      <c r="DGV23"/>
      <c r="DGW23"/>
      <c r="DGX23"/>
      <c r="DGY23"/>
      <c r="DGZ23"/>
      <c r="DHA23"/>
      <c r="DHB23"/>
      <c r="DHC23"/>
      <c r="DHD23"/>
      <c r="DHE23"/>
      <c r="DHF23"/>
      <c r="DHG23"/>
      <c r="DHH23"/>
      <c r="DHI23"/>
      <c r="DHJ23"/>
      <c r="DHK23"/>
      <c r="DHL23"/>
      <c r="DHM23"/>
      <c r="DHN23"/>
      <c r="DHO23"/>
      <c r="DHP23"/>
      <c r="DHQ23"/>
      <c r="DHR23"/>
      <c r="DHS23"/>
      <c r="DHT23"/>
      <c r="DHU23"/>
      <c r="DHV23"/>
      <c r="DHW23"/>
      <c r="DHX23"/>
      <c r="DHY23"/>
      <c r="DHZ23"/>
      <c r="DIA23"/>
      <c r="DIB23"/>
      <c r="DIC23"/>
      <c r="DID23"/>
      <c r="DIE23"/>
      <c r="DIF23"/>
      <c r="DIG23"/>
      <c r="DIH23"/>
      <c r="DII23"/>
      <c r="DIJ23"/>
      <c r="DIK23"/>
      <c r="DIL23"/>
      <c r="DIM23"/>
      <c r="DIN23"/>
      <c r="DIO23"/>
      <c r="DIP23"/>
      <c r="DIQ23"/>
      <c r="DIR23"/>
      <c r="DIS23"/>
      <c r="DIT23"/>
      <c r="DIU23"/>
      <c r="DIV23"/>
      <c r="DIW23"/>
      <c r="DIX23"/>
      <c r="DIY23"/>
      <c r="DIZ23"/>
      <c r="DJA23"/>
      <c r="DJB23"/>
      <c r="DJC23"/>
      <c r="DJD23"/>
      <c r="DJE23"/>
      <c r="DJF23"/>
      <c r="DJG23"/>
      <c r="DJH23"/>
      <c r="DJI23"/>
      <c r="DJJ23"/>
      <c r="DJK23"/>
      <c r="DJL23"/>
      <c r="DJM23"/>
      <c r="DJN23"/>
      <c r="DJO23"/>
      <c r="DJP23"/>
      <c r="DJQ23"/>
      <c r="DJR23"/>
      <c r="DJS23"/>
      <c r="DJT23"/>
      <c r="DJU23"/>
      <c r="DJV23"/>
      <c r="DJW23"/>
      <c r="DJX23"/>
      <c r="DJY23"/>
      <c r="DJZ23"/>
      <c r="DKA23"/>
      <c r="DKB23"/>
      <c r="DKC23"/>
      <c r="DKD23"/>
      <c r="DKE23"/>
      <c r="DKF23"/>
      <c r="DKG23"/>
      <c r="DKH23"/>
      <c r="DKI23"/>
      <c r="DKJ23"/>
      <c r="DKK23"/>
      <c r="DKL23"/>
      <c r="DKM23"/>
      <c r="DKN23"/>
      <c r="DKO23"/>
      <c r="DKP23"/>
      <c r="DKQ23"/>
      <c r="DKR23"/>
      <c r="DKS23"/>
      <c r="DKT23"/>
      <c r="DKU23"/>
      <c r="DKV23"/>
      <c r="DKW23"/>
      <c r="DKX23"/>
      <c r="DKY23"/>
      <c r="DKZ23"/>
      <c r="DLA23"/>
      <c r="DLB23"/>
      <c r="DLC23"/>
      <c r="DLD23"/>
      <c r="DLE23"/>
      <c r="DLF23"/>
      <c r="DLG23"/>
      <c r="DLH23"/>
      <c r="DLI23"/>
      <c r="DLJ23"/>
      <c r="DLK23"/>
      <c r="DLL23"/>
      <c r="DLM23"/>
      <c r="DLN23"/>
      <c r="DLO23"/>
      <c r="DLP23"/>
      <c r="DLQ23"/>
      <c r="DLR23"/>
      <c r="DLS23"/>
      <c r="DLT23"/>
      <c r="DLU23"/>
      <c r="DLV23"/>
      <c r="DLW23"/>
      <c r="DLX23"/>
      <c r="DLY23"/>
      <c r="DLZ23"/>
      <c r="DMA23"/>
      <c r="DMB23"/>
      <c r="DMC23"/>
      <c r="DMD23"/>
      <c r="DME23"/>
      <c r="DMF23"/>
      <c r="DMG23"/>
      <c r="DMH23"/>
      <c r="DMI23"/>
      <c r="DMJ23"/>
      <c r="DMK23"/>
      <c r="DML23"/>
      <c r="DMM23"/>
      <c r="DMN23"/>
      <c r="DMO23"/>
      <c r="DMP23"/>
      <c r="DMQ23"/>
      <c r="DMR23"/>
      <c r="DMS23"/>
      <c r="DMT23"/>
      <c r="DMU23"/>
      <c r="DMV23"/>
      <c r="DMW23"/>
      <c r="DMX23"/>
      <c r="DMY23"/>
      <c r="DMZ23"/>
      <c r="DNA23"/>
      <c r="DNB23"/>
      <c r="DNC23"/>
      <c r="DND23"/>
      <c r="DNE23"/>
      <c r="DNF23"/>
      <c r="DNG23"/>
      <c r="DNH23"/>
      <c r="DNI23"/>
      <c r="DNJ23"/>
      <c r="DNK23"/>
      <c r="DNL23"/>
      <c r="DNM23"/>
      <c r="DNN23"/>
      <c r="DNO23"/>
      <c r="DNP23"/>
      <c r="DNQ23"/>
      <c r="DNR23"/>
      <c r="DNS23"/>
      <c r="DNT23"/>
      <c r="DNU23"/>
      <c r="DNV23"/>
      <c r="DNW23"/>
      <c r="DNX23"/>
      <c r="DNY23"/>
      <c r="DNZ23"/>
      <c r="DOA23"/>
      <c r="DOB23"/>
      <c r="DOC23"/>
      <c r="DOD23"/>
      <c r="DOE23"/>
      <c r="DOF23"/>
      <c r="DOG23"/>
      <c r="DOH23"/>
      <c r="DOI23"/>
      <c r="DOJ23"/>
      <c r="DOK23"/>
      <c r="DOL23"/>
      <c r="DOM23"/>
      <c r="DON23"/>
      <c r="DOO23"/>
      <c r="DOP23"/>
      <c r="DOQ23"/>
      <c r="DOR23"/>
      <c r="DOS23"/>
      <c r="DOT23"/>
      <c r="DOU23"/>
      <c r="DOV23"/>
      <c r="DOW23"/>
      <c r="DOX23"/>
      <c r="DOY23"/>
      <c r="DOZ23"/>
      <c r="DPA23"/>
      <c r="DPB23"/>
      <c r="DPC23"/>
      <c r="DPD23"/>
      <c r="DPE23"/>
      <c r="DPF23"/>
      <c r="DPG23"/>
      <c r="DPH23"/>
      <c r="DPI23"/>
      <c r="DPJ23"/>
      <c r="DPK23"/>
      <c r="DPL23"/>
      <c r="DPM23"/>
      <c r="DPN23"/>
      <c r="DPO23"/>
      <c r="DPP23"/>
      <c r="DPQ23"/>
      <c r="DPR23"/>
      <c r="DPS23"/>
      <c r="DPT23"/>
      <c r="DPU23"/>
      <c r="DPV23"/>
      <c r="DPW23"/>
      <c r="DPX23"/>
      <c r="DPY23"/>
      <c r="DPZ23"/>
      <c r="DQA23"/>
      <c r="DQB23"/>
      <c r="DQC23"/>
      <c r="DQD23"/>
      <c r="DQE23"/>
      <c r="DQF23"/>
      <c r="DQG23"/>
      <c r="DQH23"/>
      <c r="DQI23"/>
      <c r="DQJ23"/>
      <c r="DQK23"/>
      <c r="DQL23"/>
      <c r="DQM23"/>
      <c r="DQN23"/>
      <c r="DQO23"/>
      <c r="DQP23"/>
      <c r="DQQ23"/>
      <c r="DQR23"/>
      <c r="DQS23"/>
      <c r="DQT23"/>
      <c r="DQU23"/>
      <c r="DQV23"/>
      <c r="DQW23"/>
      <c r="DQX23"/>
      <c r="DQY23"/>
      <c r="DQZ23"/>
      <c r="DRA23"/>
      <c r="DRB23"/>
      <c r="DRC23"/>
      <c r="DRD23"/>
      <c r="DRE23"/>
      <c r="DRF23"/>
      <c r="DRG23"/>
      <c r="DRH23"/>
      <c r="DRI23"/>
      <c r="DRJ23"/>
      <c r="DRK23"/>
      <c r="DRL23"/>
      <c r="DRM23"/>
      <c r="DRN23"/>
      <c r="DRO23"/>
      <c r="DRP23"/>
      <c r="DRQ23"/>
      <c r="DRR23"/>
      <c r="DRS23"/>
      <c r="DRT23"/>
      <c r="DRU23"/>
      <c r="DRV23"/>
      <c r="DRW23"/>
      <c r="DRX23"/>
      <c r="DRY23"/>
      <c r="DRZ23"/>
      <c r="DSA23"/>
      <c r="DSB23"/>
      <c r="DSC23"/>
      <c r="DSD23"/>
      <c r="DSE23"/>
      <c r="DSF23"/>
      <c r="DSG23"/>
      <c r="DSH23"/>
      <c r="DSI23"/>
      <c r="DSJ23"/>
      <c r="DSK23"/>
      <c r="DSL23"/>
      <c r="DSM23"/>
      <c r="DSN23"/>
      <c r="DSO23"/>
      <c r="DSP23"/>
      <c r="DSQ23"/>
      <c r="DSR23"/>
      <c r="DSS23"/>
      <c r="DST23"/>
      <c r="DSU23"/>
      <c r="DSV23"/>
      <c r="DSW23"/>
      <c r="DSX23"/>
      <c r="DSY23"/>
      <c r="DSZ23"/>
      <c r="DTA23"/>
      <c r="DTB23"/>
      <c r="DTC23"/>
      <c r="DTD23"/>
      <c r="DTE23"/>
      <c r="DTF23"/>
      <c r="DTG23"/>
      <c r="DTH23"/>
      <c r="DTI23"/>
      <c r="DTJ23"/>
      <c r="DTK23"/>
      <c r="DTL23"/>
      <c r="DTM23"/>
      <c r="DTN23"/>
      <c r="DTO23"/>
      <c r="DTP23"/>
      <c r="DTQ23"/>
      <c r="DTR23"/>
      <c r="DTS23"/>
      <c r="DTT23"/>
      <c r="DTU23"/>
      <c r="DTV23"/>
      <c r="DTW23"/>
      <c r="DTX23"/>
      <c r="DTY23"/>
      <c r="DTZ23"/>
      <c r="DUA23"/>
      <c r="DUB23"/>
      <c r="DUC23"/>
      <c r="DUD23"/>
      <c r="DUE23"/>
      <c r="DUF23"/>
      <c r="DUG23"/>
      <c r="DUH23"/>
      <c r="DUI23"/>
      <c r="DUJ23"/>
      <c r="DUK23"/>
      <c r="DUL23"/>
      <c r="DUM23"/>
      <c r="DUN23"/>
      <c r="DUO23"/>
      <c r="DUP23"/>
      <c r="DUQ23"/>
      <c r="DUR23"/>
      <c r="DUS23"/>
      <c r="DUT23"/>
      <c r="DUU23"/>
      <c r="DUV23"/>
      <c r="DUW23"/>
      <c r="DUX23"/>
      <c r="DUY23"/>
      <c r="DUZ23"/>
      <c r="DVA23"/>
      <c r="DVB23"/>
      <c r="DVC23"/>
      <c r="DVD23"/>
      <c r="DVE23"/>
      <c r="DVF23"/>
      <c r="DVG23"/>
      <c r="DVH23"/>
      <c r="DVI23"/>
      <c r="DVJ23"/>
      <c r="DVK23"/>
      <c r="DVL23"/>
      <c r="DVM23"/>
      <c r="DVN23"/>
      <c r="DVO23"/>
      <c r="DVP23"/>
      <c r="DVQ23"/>
      <c r="DVR23"/>
      <c r="DVS23"/>
      <c r="DVT23"/>
      <c r="DVU23"/>
      <c r="DVV23"/>
      <c r="DVW23"/>
      <c r="DVX23"/>
      <c r="DVY23"/>
      <c r="DVZ23"/>
      <c r="DWA23"/>
      <c r="DWB23"/>
      <c r="DWC23"/>
      <c r="DWD23"/>
      <c r="DWE23"/>
      <c r="DWF23"/>
      <c r="DWG23"/>
      <c r="DWH23"/>
      <c r="DWI23"/>
      <c r="DWJ23"/>
      <c r="DWK23"/>
      <c r="DWL23"/>
      <c r="DWM23"/>
      <c r="DWN23"/>
      <c r="DWO23"/>
      <c r="DWP23"/>
      <c r="DWQ23"/>
      <c r="DWR23"/>
      <c r="DWS23"/>
      <c r="DWT23"/>
      <c r="DWU23"/>
      <c r="DWV23"/>
      <c r="DWW23"/>
      <c r="DWX23"/>
      <c r="DWY23"/>
      <c r="DWZ23"/>
      <c r="DXA23"/>
      <c r="DXB23"/>
      <c r="DXC23"/>
      <c r="DXD23"/>
      <c r="DXE23"/>
      <c r="DXF23"/>
      <c r="DXG23"/>
      <c r="DXH23"/>
      <c r="DXI23"/>
      <c r="DXJ23"/>
      <c r="DXK23"/>
      <c r="DXL23"/>
      <c r="DXM23"/>
      <c r="DXN23"/>
      <c r="DXO23"/>
      <c r="DXP23"/>
      <c r="DXQ23"/>
      <c r="DXR23"/>
      <c r="DXS23"/>
      <c r="DXT23"/>
      <c r="DXU23"/>
      <c r="DXV23"/>
      <c r="DXW23"/>
      <c r="DXX23"/>
      <c r="DXY23"/>
      <c r="DXZ23"/>
      <c r="DYA23"/>
      <c r="DYB23"/>
      <c r="DYC23"/>
      <c r="DYD23"/>
      <c r="DYE23"/>
      <c r="DYF23"/>
      <c r="DYG23"/>
      <c r="DYH23"/>
      <c r="DYI23"/>
      <c r="DYJ23"/>
      <c r="DYK23"/>
      <c r="DYL23"/>
      <c r="DYM23"/>
      <c r="DYN23"/>
      <c r="DYO23"/>
      <c r="DYP23"/>
      <c r="DYQ23"/>
      <c r="DYR23"/>
      <c r="DYS23"/>
      <c r="DYT23"/>
      <c r="DYU23"/>
      <c r="DYV23"/>
      <c r="DYW23"/>
      <c r="DYX23"/>
      <c r="DYY23"/>
      <c r="DYZ23"/>
      <c r="DZA23"/>
      <c r="DZB23"/>
      <c r="DZC23"/>
      <c r="DZD23"/>
      <c r="DZE23"/>
      <c r="DZF23"/>
      <c r="DZG23"/>
      <c r="DZH23"/>
      <c r="DZI23"/>
      <c r="DZJ23"/>
      <c r="DZK23"/>
      <c r="DZL23"/>
      <c r="DZM23"/>
      <c r="DZN23"/>
      <c r="DZO23"/>
      <c r="DZP23"/>
      <c r="DZQ23"/>
      <c r="DZR23"/>
      <c r="DZS23"/>
      <c r="DZT23"/>
      <c r="DZU23"/>
      <c r="DZV23"/>
      <c r="DZW23"/>
      <c r="DZX23"/>
      <c r="DZY23"/>
      <c r="DZZ23"/>
      <c r="EAA23"/>
      <c r="EAB23"/>
      <c r="EAC23"/>
      <c r="EAD23"/>
      <c r="EAE23"/>
      <c r="EAF23"/>
      <c r="EAG23"/>
      <c r="EAH23"/>
      <c r="EAI23"/>
      <c r="EAJ23"/>
      <c r="EAK23"/>
      <c r="EAL23"/>
      <c r="EAM23"/>
      <c r="EAN23"/>
      <c r="EAO23"/>
      <c r="EAP23"/>
      <c r="EAQ23"/>
      <c r="EAR23"/>
      <c r="EAS23"/>
      <c r="EAT23"/>
      <c r="EAU23"/>
      <c r="EAV23"/>
      <c r="EAW23"/>
      <c r="EAX23"/>
      <c r="EAY23"/>
      <c r="EAZ23"/>
      <c r="EBA23"/>
      <c r="EBB23"/>
      <c r="EBC23"/>
      <c r="EBD23"/>
      <c r="EBE23"/>
      <c r="EBF23"/>
      <c r="EBG23"/>
      <c r="EBH23"/>
      <c r="EBI23"/>
      <c r="EBJ23"/>
      <c r="EBK23"/>
      <c r="EBL23"/>
      <c r="EBM23"/>
      <c r="EBN23"/>
      <c r="EBO23"/>
      <c r="EBP23"/>
      <c r="EBQ23"/>
      <c r="EBR23"/>
      <c r="EBS23"/>
      <c r="EBT23"/>
      <c r="EBU23"/>
      <c r="EBV23"/>
      <c r="EBW23"/>
      <c r="EBX23"/>
      <c r="EBY23"/>
      <c r="EBZ23"/>
      <c r="ECA23"/>
      <c r="ECB23"/>
      <c r="ECC23"/>
      <c r="ECD23"/>
      <c r="ECE23"/>
      <c r="ECF23"/>
      <c r="ECG23"/>
      <c r="ECH23"/>
      <c r="ECI23"/>
      <c r="ECJ23"/>
      <c r="ECK23"/>
      <c r="ECL23"/>
      <c r="ECM23"/>
      <c r="ECN23"/>
      <c r="ECO23"/>
      <c r="ECP23"/>
      <c r="ECQ23"/>
      <c r="ECR23"/>
      <c r="ECS23"/>
      <c r="ECT23"/>
      <c r="ECU23"/>
      <c r="ECV23"/>
      <c r="ECW23"/>
      <c r="ECX23"/>
      <c r="ECY23"/>
      <c r="ECZ23"/>
      <c r="EDA23"/>
      <c r="EDB23"/>
      <c r="EDC23"/>
      <c r="EDD23"/>
      <c r="EDE23"/>
      <c r="EDF23"/>
      <c r="EDG23"/>
      <c r="EDH23"/>
      <c r="EDI23"/>
      <c r="EDJ23"/>
      <c r="EDK23"/>
      <c r="EDL23"/>
      <c r="EDM23"/>
      <c r="EDN23"/>
      <c r="EDO23"/>
      <c r="EDP23"/>
      <c r="EDQ23"/>
      <c r="EDR23"/>
      <c r="EDS23"/>
      <c r="EDT23"/>
      <c r="EDU23"/>
      <c r="EDV23"/>
      <c r="EDW23"/>
      <c r="EDX23"/>
      <c r="EDY23"/>
      <c r="EDZ23"/>
      <c r="EEA23"/>
      <c r="EEB23"/>
      <c r="EEC23"/>
      <c r="EED23"/>
      <c r="EEE23"/>
      <c r="EEF23"/>
      <c r="EEG23"/>
      <c r="EEH23"/>
      <c r="EEI23"/>
      <c r="EEJ23"/>
      <c r="EEK23"/>
      <c r="EEL23"/>
      <c r="EEM23"/>
      <c r="EEN23"/>
      <c r="EEO23"/>
      <c r="EEP23"/>
      <c r="EEQ23"/>
      <c r="EER23"/>
      <c r="EES23"/>
      <c r="EET23"/>
      <c r="EEU23"/>
      <c r="EEV23"/>
      <c r="EEW23"/>
      <c r="EEX23"/>
      <c r="EEY23"/>
      <c r="EEZ23"/>
      <c r="EFA23"/>
      <c r="EFB23"/>
      <c r="EFC23"/>
      <c r="EFD23"/>
      <c r="EFE23"/>
      <c r="EFF23"/>
      <c r="EFG23"/>
      <c r="EFH23"/>
      <c r="EFI23"/>
      <c r="EFJ23"/>
      <c r="EFK23"/>
      <c r="EFL23"/>
      <c r="EFM23"/>
      <c r="EFN23"/>
      <c r="EFO23"/>
      <c r="EFP23"/>
      <c r="EFQ23"/>
      <c r="EFR23"/>
      <c r="EFS23"/>
      <c r="EFT23"/>
      <c r="EFU23"/>
      <c r="EFV23"/>
      <c r="EFW23"/>
      <c r="EFX23"/>
      <c r="EFY23"/>
      <c r="EFZ23"/>
      <c r="EGA23"/>
      <c r="EGB23"/>
      <c r="EGC23"/>
      <c r="EGD23"/>
      <c r="EGE23"/>
      <c r="EGF23"/>
      <c r="EGG23"/>
      <c r="EGH23"/>
      <c r="EGI23"/>
      <c r="EGJ23"/>
      <c r="EGK23"/>
      <c r="EGL23"/>
      <c r="EGM23"/>
      <c r="EGN23"/>
      <c r="EGO23"/>
      <c r="EGP23"/>
      <c r="EGQ23"/>
      <c r="EGR23"/>
      <c r="EGS23"/>
      <c r="EGT23"/>
      <c r="EGU23"/>
      <c r="EGV23"/>
      <c r="EGW23"/>
      <c r="EGX23"/>
      <c r="EGY23"/>
      <c r="EGZ23"/>
      <c r="EHA23"/>
      <c r="EHB23"/>
      <c r="EHC23"/>
      <c r="EHD23"/>
      <c r="EHE23"/>
      <c r="EHF23"/>
      <c r="EHG23"/>
      <c r="EHH23"/>
      <c r="EHI23"/>
      <c r="EHJ23"/>
      <c r="EHK23"/>
      <c r="EHL23"/>
      <c r="EHM23"/>
      <c r="EHN23"/>
      <c r="EHO23"/>
      <c r="EHP23"/>
      <c r="EHQ23"/>
      <c r="EHR23"/>
      <c r="EHS23"/>
      <c r="EHT23"/>
      <c r="EHU23"/>
      <c r="EHV23"/>
      <c r="EHW23"/>
      <c r="EHX23"/>
      <c r="EHY23"/>
      <c r="EHZ23"/>
      <c r="EIA23"/>
      <c r="EIB23"/>
      <c r="EIC23"/>
      <c r="EID23"/>
      <c r="EIE23"/>
      <c r="EIF23"/>
      <c r="EIG23"/>
      <c r="EIH23"/>
      <c r="EII23"/>
      <c r="EIJ23"/>
      <c r="EIK23"/>
      <c r="EIL23"/>
      <c r="EIM23"/>
      <c r="EIN23"/>
      <c r="EIO23"/>
      <c r="EIP23"/>
      <c r="EIQ23"/>
      <c r="EIR23"/>
      <c r="EIS23"/>
      <c r="EIT23"/>
      <c r="EIU23"/>
      <c r="EIV23"/>
      <c r="EIW23"/>
      <c r="EIX23"/>
      <c r="EIY23"/>
      <c r="EIZ23"/>
      <c r="EJA23"/>
      <c r="EJB23"/>
      <c r="EJC23"/>
      <c r="EJD23"/>
      <c r="EJE23"/>
      <c r="EJF23"/>
      <c r="EJG23"/>
      <c r="EJH23"/>
      <c r="EJI23"/>
      <c r="EJJ23"/>
      <c r="EJK23"/>
      <c r="EJL23"/>
      <c r="EJM23"/>
      <c r="EJN23"/>
      <c r="EJO23"/>
      <c r="EJP23"/>
      <c r="EJQ23"/>
      <c r="EJR23"/>
      <c r="EJS23"/>
      <c r="EJT23"/>
      <c r="EJU23"/>
      <c r="EJV23"/>
      <c r="EJW23"/>
      <c r="EJX23"/>
      <c r="EJY23"/>
      <c r="EJZ23"/>
      <c r="EKA23"/>
      <c r="EKB23"/>
      <c r="EKC23"/>
      <c r="EKD23"/>
      <c r="EKE23"/>
      <c r="EKF23"/>
      <c r="EKG23"/>
      <c r="EKH23"/>
      <c r="EKI23"/>
      <c r="EKJ23"/>
      <c r="EKK23"/>
      <c r="EKL23"/>
      <c r="EKM23"/>
      <c r="EKN23"/>
      <c r="EKO23"/>
      <c r="EKP23"/>
      <c r="EKQ23"/>
      <c r="EKR23"/>
      <c r="EKS23"/>
      <c r="EKT23"/>
      <c r="EKU23"/>
      <c r="EKV23"/>
      <c r="EKW23"/>
      <c r="EKX23"/>
      <c r="EKY23"/>
      <c r="EKZ23"/>
      <c r="ELA23"/>
      <c r="ELB23"/>
      <c r="ELC23"/>
      <c r="ELD23"/>
      <c r="ELE23"/>
      <c r="ELF23"/>
      <c r="ELG23"/>
      <c r="ELH23"/>
      <c r="ELI23"/>
      <c r="ELJ23"/>
      <c r="ELK23"/>
      <c r="ELL23"/>
      <c r="ELM23"/>
      <c r="ELN23"/>
      <c r="ELO23"/>
      <c r="ELP23"/>
      <c r="ELQ23"/>
      <c r="ELR23"/>
      <c r="ELS23"/>
      <c r="ELT23"/>
      <c r="ELU23"/>
      <c r="ELV23"/>
      <c r="ELW23"/>
      <c r="ELX23"/>
      <c r="ELY23"/>
      <c r="ELZ23"/>
      <c r="EMA23"/>
      <c r="EMB23"/>
      <c r="EMC23"/>
      <c r="EMD23"/>
      <c r="EME23"/>
      <c r="EMF23"/>
      <c r="EMG23"/>
      <c r="EMH23"/>
      <c r="EMI23"/>
      <c r="EMJ23"/>
      <c r="EMK23"/>
      <c r="EML23"/>
      <c r="EMM23"/>
      <c r="EMN23"/>
      <c r="EMO23"/>
      <c r="EMP23"/>
      <c r="EMQ23"/>
      <c r="EMR23"/>
      <c r="EMS23"/>
      <c r="EMT23"/>
      <c r="EMU23"/>
      <c r="EMV23"/>
      <c r="EMW23"/>
      <c r="EMX23"/>
      <c r="EMY23"/>
      <c r="EMZ23"/>
      <c r="ENA23"/>
      <c r="ENB23"/>
      <c r="ENC23"/>
      <c r="END23"/>
      <c r="ENE23"/>
      <c r="ENF23"/>
      <c r="ENG23"/>
      <c r="ENH23"/>
      <c r="ENI23"/>
      <c r="ENJ23"/>
      <c r="ENK23"/>
      <c r="ENL23"/>
      <c r="ENM23"/>
      <c r="ENN23"/>
      <c r="ENO23"/>
      <c r="ENP23"/>
      <c r="ENQ23"/>
      <c r="ENR23"/>
      <c r="ENS23"/>
      <c r="ENT23"/>
      <c r="ENU23"/>
      <c r="ENV23"/>
      <c r="ENW23"/>
      <c r="ENX23"/>
      <c r="ENY23"/>
      <c r="ENZ23"/>
      <c r="EOA23"/>
      <c r="EOB23"/>
      <c r="EOC23"/>
      <c r="EOD23"/>
      <c r="EOE23"/>
      <c r="EOF23"/>
      <c r="EOG23"/>
      <c r="EOH23"/>
      <c r="EOI23"/>
      <c r="EOJ23"/>
      <c r="EOK23"/>
      <c r="EOL23"/>
      <c r="EOM23"/>
      <c r="EON23"/>
      <c r="EOO23"/>
      <c r="EOP23"/>
      <c r="EOQ23"/>
      <c r="EOR23"/>
      <c r="EOS23"/>
      <c r="EOT23"/>
      <c r="EOU23"/>
      <c r="EOV23"/>
      <c r="EOW23"/>
      <c r="EOX23"/>
      <c r="EOY23"/>
      <c r="EOZ23"/>
      <c r="EPA23"/>
      <c r="EPB23"/>
      <c r="EPC23"/>
      <c r="EPD23"/>
      <c r="EPE23"/>
      <c r="EPF23"/>
      <c r="EPG23"/>
      <c r="EPH23"/>
      <c r="EPI23"/>
      <c r="EPJ23"/>
      <c r="EPK23"/>
      <c r="EPL23"/>
      <c r="EPM23"/>
      <c r="EPN23"/>
      <c r="EPO23"/>
      <c r="EPP23"/>
      <c r="EPQ23"/>
      <c r="EPR23"/>
      <c r="EPS23"/>
      <c r="EPT23"/>
      <c r="EPU23"/>
      <c r="EPV23"/>
      <c r="EPW23"/>
      <c r="EPX23"/>
      <c r="EPY23"/>
      <c r="EPZ23"/>
      <c r="EQA23"/>
      <c r="EQB23"/>
      <c r="EQC23"/>
      <c r="EQD23"/>
      <c r="EQE23"/>
      <c r="EQF23"/>
      <c r="EQG23"/>
      <c r="EQH23"/>
      <c r="EQI23"/>
      <c r="EQJ23"/>
      <c r="EQK23"/>
      <c r="EQL23"/>
      <c r="EQM23"/>
      <c r="EQN23"/>
      <c r="EQO23"/>
      <c r="EQP23"/>
      <c r="EQQ23"/>
      <c r="EQR23"/>
      <c r="EQS23"/>
      <c r="EQT23"/>
      <c r="EQU23"/>
      <c r="EQV23"/>
      <c r="EQW23"/>
      <c r="EQX23"/>
      <c r="EQY23"/>
      <c r="EQZ23"/>
      <c r="ERA23"/>
      <c r="ERB23"/>
      <c r="ERC23"/>
      <c r="ERD23"/>
      <c r="ERE23"/>
      <c r="ERF23"/>
      <c r="ERG23"/>
      <c r="ERH23"/>
      <c r="ERI23"/>
      <c r="ERJ23"/>
      <c r="ERK23"/>
      <c r="ERL23"/>
      <c r="ERM23"/>
      <c r="ERN23"/>
      <c r="ERO23"/>
      <c r="ERP23"/>
      <c r="ERQ23"/>
      <c r="ERR23"/>
      <c r="ERS23"/>
      <c r="ERT23"/>
      <c r="ERU23"/>
      <c r="ERV23"/>
      <c r="ERW23"/>
      <c r="ERX23"/>
      <c r="ERY23"/>
      <c r="ERZ23"/>
      <c r="ESA23"/>
      <c r="ESB23"/>
      <c r="ESC23"/>
      <c r="ESD23"/>
      <c r="ESE23"/>
      <c r="ESF23"/>
      <c r="ESG23"/>
      <c r="ESH23"/>
      <c r="ESI23"/>
      <c r="ESJ23"/>
      <c r="ESK23"/>
      <c r="ESL23"/>
      <c r="ESM23"/>
      <c r="ESN23"/>
      <c r="ESO23"/>
      <c r="ESP23"/>
      <c r="ESQ23"/>
      <c r="ESR23"/>
      <c r="ESS23"/>
      <c r="EST23"/>
      <c r="ESU23"/>
      <c r="ESV23"/>
      <c r="ESW23"/>
      <c r="ESX23"/>
      <c r="ESY23"/>
      <c r="ESZ23"/>
      <c r="ETA23"/>
      <c r="ETB23"/>
      <c r="ETC23"/>
      <c r="ETD23"/>
      <c r="ETE23"/>
      <c r="ETF23"/>
      <c r="ETG23"/>
      <c r="ETH23"/>
      <c r="ETI23"/>
      <c r="ETJ23"/>
      <c r="ETK23"/>
      <c r="ETL23"/>
      <c r="ETM23"/>
      <c r="ETN23"/>
      <c r="ETO23"/>
      <c r="ETP23"/>
      <c r="ETQ23"/>
      <c r="ETR23"/>
      <c r="ETS23"/>
      <c r="ETT23"/>
      <c r="ETU23"/>
      <c r="ETV23"/>
      <c r="ETW23"/>
      <c r="ETX23"/>
      <c r="ETY23"/>
      <c r="ETZ23"/>
      <c r="EUA23"/>
      <c r="EUB23"/>
      <c r="EUC23"/>
      <c r="EUD23"/>
      <c r="EUE23"/>
      <c r="EUF23"/>
      <c r="EUG23"/>
      <c r="EUH23"/>
      <c r="EUI23"/>
      <c r="EUJ23"/>
      <c r="EUK23"/>
      <c r="EUL23"/>
      <c r="EUM23"/>
      <c r="EUN23"/>
      <c r="EUO23"/>
      <c r="EUP23"/>
      <c r="EUQ23"/>
      <c r="EUR23"/>
      <c r="EUS23"/>
      <c r="EUT23"/>
      <c r="EUU23"/>
      <c r="EUV23"/>
      <c r="EUW23"/>
      <c r="EUX23"/>
      <c r="EUY23"/>
      <c r="EUZ23"/>
      <c r="EVA23"/>
      <c r="EVB23"/>
      <c r="EVC23"/>
      <c r="EVD23"/>
      <c r="EVE23"/>
      <c r="EVF23"/>
      <c r="EVG23"/>
      <c r="EVH23"/>
      <c r="EVI23"/>
      <c r="EVJ23"/>
      <c r="EVK23"/>
      <c r="EVL23"/>
      <c r="EVM23"/>
      <c r="EVN23"/>
      <c r="EVO23"/>
      <c r="EVP23"/>
      <c r="EVQ23"/>
      <c r="EVR23"/>
      <c r="EVS23"/>
      <c r="EVT23"/>
      <c r="EVU23"/>
      <c r="EVV23"/>
      <c r="EVW23"/>
      <c r="EVX23"/>
      <c r="EVY23"/>
      <c r="EVZ23"/>
      <c r="EWA23"/>
      <c r="EWB23"/>
      <c r="EWC23"/>
      <c r="EWD23"/>
      <c r="EWE23"/>
      <c r="EWF23"/>
      <c r="EWG23"/>
      <c r="EWH23"/>
      <c r="EWI23"/>
      <c r="EWJ23"/>
      <c r="EWK23"/>
      <c r="EWL23"/>
      <c r="EWM23"/>
      <c r="EWN23"/>
      <c r="EWO23"/>
      <c r="EWP23"/>
      <c r="EWQ23"/>
      <c r="EWR23"/>
      <c r="EWS23"/>
      <c r="EWT23"/>
      <c r="EWU23"/>
      <c r="EWV23"/>
      <c r="EWW23"/>
      <c r="EWX23"/>
      <c r="EWY23"/>
      <c r="EWZ23"/>
      <c r="EXA23"/>
      <c r="EXB23"/>
      <c r="EXC23"/>
      <c r="EXD23"/>
      <c r="EXE23"/>
      <c r="EXF23"/>
      <c r="EXG23"/>
      <c r="EXH23"/>
      <c r="EXI23"/>
      <c r="EXJ23"/>
      <c r="EXK23"/>
      <c r="EXL23"/>
      <c r="EXM23"/>
      <c r="EXN23"/>
      <c r="EXO23"/>
      <c r="EXP23"/>
      <c r="EXQ23"/>
      <c r="EXR23"/>
      <c r="EXS23"/>
      <c r="EXT23"/>
      <c r="EXU23"/>
      <c r="EXV23"/>
      <c r="EXW23"/>
      <c r="EXX23"/>
      <c r="EXY23"/>
      <c r="EXZ23"/>
      <c r="EYA23"/>
      <c r="EYB23"/>
      <c r="EYC23"/>
      <c r="EYD23"/>
      <c r="EYE23"/>
      <c r="EYF23"/>
      <c r="EYG23"/>
      <c r="EYH23"/>
      <c r="EYI23"/>
      <c r="EYJ23"/>
      <c r="EYK23"/>
      <c r="EYL23"/>
      <c r="EYM23"/>
      <c r="EYN23"/>
      <c r="EYO23"/>
      <c r="EYP23"/>
      <c r="EYQ23"/>
      <c r="EYR23"/>
      <c r="EYS23"/>
      <c r="EYT23"/>
      <c r="EYU23"/>
      <c r="EYV23"/>
      <c r="EYW23"/>
      <c r="EYX23"/>
      <c r="EYY23"/>
      <c r="EYZ23"/>
      <c r="EZA23"/>
      <c r="EZB23"/>
      <c r="EZC23"/>
      <c r="EZD23"/>
      <c r="EZE23"/>
      <c r="EZF23"/>
      <c r="EZG23"/>
      <c r="EZH23"/>
      <c r="EZI23"/>
      <c r="EZJ23"/>
      <c r="EZK23"/>
      <c r="EZL23"/>
      <c r="EZM23"/>
      <c r="EZN23"/>
      <c r="EZO23"/>
      <c r="EZP23"/>
      <c r="EZQ23"/>
      <c r="EZR23"/>
      <c r="EZS23"/>
      <c r="EZT23"/>
      <c r="EZU23"/>
      <c r="EZV23"/>
      <c r="EZW23"/>
      <c r="EZX23"/>
      <c r="EZY23"/>
      <c r="EZZ23"/>
      <c r="FAA23"/>
      <c r="FAB23"/>
      <c r="FAC23"/>
      <c r="FAD23"/>
      <c r="FAE23"/>
      <c r="FAF23"/>
      <c r="FAG23"/>
      <c r="FAH23"/>
      <c r="FAI23"/>
      <c r="FAJ23"/>
      <c r="FAK23"/>
      <c r="FAL23"/>
      <c r="FAM23"/>
      <c r="FAN23"/>
      <c r="FAO23"/>
      <c r="FAP23"/>
      <c r="FAQ23"/>
      <c r="FAR23"/>
      <c r="FAS23"/>
      <c r="FAT23"/>
      <c r="FAU23"/>
      <c r="FAV23"/>
      <c r="FAW23"/>
      <c r="FAX23"/>
      <c r="FAY23"/>
      <c r="FAZ23"/>
      <c r="FBA23"/>
      <c r="FBB23"/>
      <c r="FBC23"/>
      <c r="FBD23"/>
      <c r="FBE23"/>
      <c r="FBF23"/>
      <c r="FBG23"/>
      <c r="FBH23"/>
      <c r="FBI23"/>
      <c r="FBJ23"/>
      <c r="FBK23"/>
      <c r="FBL23"/>
      <c r="FBM23"/>
      <c r="FBN23"/>
      <c r="FBO23"/>
      <c r="FBP23"/>
      <c r="FBQ23"/>
      <c r="FBR23"/>
      <c r="FBS23"/>
      <c r="FBT23"/>
      <c r="FBU23"/>
      <c r="FBV23"/>
      <c r="FBW23"/>
      <c r="FBX23"/>
      <c r="FBY23"/>
      <c r="FBZ23"/>
      <c r="FCA23"/>
      <c r="FCB23"/>
      <c r="FCC23"/>
      <c r="FCD23"/>
      <c r="FCE23"/>
      <c r="FCF23"/>
      <c r="FCG23"/>
      <c r="FCH23"/>
      <c r="FCI23"/>
      <c r="FCJ23"/>
      <c r="FCK23"/>
      <c r="FCL23"/>
      <c r="FCM23"/>
      <c r="FCN23"/>
      <c r="FCO23"/>
      <c r="FCP23"/>
      <c r="FCQ23"/>
      <c r="FCR23"/>
      <c r="FCS23"/>
      <c r="FCT23"/>
      <c r="FCU23"/>
      <c r="FCV23"/>
      <c r="FCW23"/>
      <c r="FCX23"/>
      <c r="FCY23"/>
      <c r="FCZ23"/>
      <c r="FDA23"/>
      <c r="FDB23"/>
      <c r="FDC23"/>
      <c r="FDD23"/>
      <c r="FDE23"/>
      <c r="FDF23"/>
      <c r="FDG23"/>
      <c r="FDH23"/>
      <c r="FDI23"/>
      <c r="FDJ23"/>
      <c r="FDK23"/>
      <c r="FDL23"/>
      <c r="FDM23"/>
      <c r="FDN23"/>
      <c r="FDO23"/>
      <c r="FDP23"/>
      <c r="FDQ23"/>
      <c r="FDR23"/>
      <c r="FDS23"/>
      <c r="FDT23"/>
      <c r="FDU23"/>
      <c r="FDV23"/>
      <c r="FDW23"/>
      <c r="FDX23"/>
      <c r="FDY23"/>
      <c r="FDZ23"/>
      <c r="FEA23"/>
      <c r="FEB23"/>
      <c r="FEC23"/>
      <c r="FED23"/>
      <c r="FEE23"/>
      <c r="FEF23"/>
      <c r="FEG23"/>
      <c r="FEH23"/>
      <c r="FEI23"/>
      <c r="FEJ23"/>
      <c r="FEK23"/>
      <c r="FEL23"/>
      <c r="FEM23"/>
      <c r="FEN23"/>
      <c r="FEO23"/>
      <c r="FEP23"/>
      <c r="FEQ23"/>
      <c r="FER23"/>
      <c r="FES23"/>
      <c r="FET23"/>
      <c r="FEU23"/>
      <c r="FEV23"/>
      <c r="FEW23"/>
      <c r="FEX23"/>
      <c r="FEY23"/>
      <c r="FEZ23"/>
      <c r="FFA23"/>
      <c r="FFB23"/>
      <c r="FFC23"/>
      <c r="FFD23"/>
      <c r="FFE23"/>
      <c r="FFF23"/>
      <c r="FFG23"/>
      <c r="FFH23"/>
      <c r="FFI23"/>
      <c r="FFJ23"/>
      <c r="FFK23"/>
      <c r="FFL23"/>
      <c r="FFM23"/>
      <c r="FFN23"/>
      <c r="FFO23"/>
      <c r="FFP23"/>
      <c r="FFQ23"/>
      <c r="FFR23"/>
      <c r="FFS23"/>
      <c r="FFT23"/>
      <c r="FFU23"/>
      <c r="FFV23"/>
      <c r="FFW23"/>
      <c r="FFX23"/>
      <c r="FFY23"/>
      <c r="FFZ23"/>
      <c r="FGA23"/>
      <c r="FGB23"/>
      <c r="FGC23"/>
      <c r="FGD23"/>
      <c r="FGE23"/>
      <c r="FGF23"/>
      <c r="FGG23"/>
      <c r="FGH23"/>
      <c r="FGI23"/>
      <c r="FGJ23"/>
      <c r="FGK23"/>
      <c r="FGL23"/>
      <c r="FGM23"/>
      <c r="FGN23"/>
      <c r="FGO23"/>
      <c r="FGP23"/>
      <c r="FGQ23"/>
      <c r="FGR23"/>
      <c r="FGS23"/>
      <c r="FGT23"/>
      <c r="FGU23"/>
      <c r="FGV23"/>
      <c r="FGW23"/>
      <c r="FGX23"/>
      <c r="FGY23"/>
      <c r="FGZ23"/>
      <c r="FHA23"/>
      <c r="FHB23"/>
      <c r="FHC23"/>
      <c r="FHD23"/>
      <c r="FHE23"/>
      <c r="FHF23"/>
      <c r="FHG23"/>
      <c r="FHH23"/>
      <c r="FHI23"/>
      <c r="FHJ23"/>
      <c r="FHK23"/>
      <c r="FHL23"/>
      <c r="FHM23"/>
      <c r="FHN23"/>
      <c r="FHO23"/>
      <c r="FHP23"/>
      <c r="FHQ23"/>
      <c r="FHR23"/>
      <c r="FHS23"/>
      <c r="FHT23"/>
      <c r="FHU23"/>
      <c r="FHV23"/>
      <c r="FHW23"/>
      <c r="FHX23"/>
      <c r="FHY23"/>
      <c r="FHZ23"/>
      <c r="FIA23"/>
      <c r="FIB23"/>
      <c r="FIC23"/>
      <c r="FID23"/>
      <c r="FIE23"/>
      <c r="FIF23"/>
      <c r="FIG23"/>
      <c r="FIH23"/>
      <c r="FII23"/>
      <c r="FIJ23"/>
      <c r="FIK23"/>
      <c r="FIL23"/>
      <c r="FIM23"/>
      <c r="FIN23"/>
      <c r="FIO23"/>
      <c r="FIP23"/>
      <c r="FIQ23"/>
      <c r="FIR23"/>
      <c r="FIS23"/>
      <c r="FIT23"/>
      <c r="FIU23"/>
      <c r="FIV23"/>
      <c r="FIW23"/>
      <c r="FIX23"/>
      <c r="FIY23"/>
      <c r="FIZ23"/>
      <c r="FJA23"/>
      <c r="FJB23"/>
      <c r="FJC23"/>
      <c r="FJD23"/>
      <c r="FJE23"/>
      <c r="FJF23"/>
      <c r="FJG23"/>
      <c r="FJH23"/>
      <c r="FJI23"/>
      <c r="FJJ23"/>
      <c r="FJK23"/>
      <c r="FJL23"/>
      <c r="FJM23"/>
      <c r="FJN23"/>
      <c r="FJO23"/>
      <c r="FJP23"/>
      <c r="FJQ23"/>
      <c r="FJR23"/>
      <c r="FJS23"/>
      <c r="FJT23"/>
      <c r="FJU23"/>
      <c r="FJV23"/>
      <c r="FJW23"/>
      <c r="FJX23"/>
      <c r="FJY23"/>
      <c r="FJZ23"/>
      <c r="FKA23"/>
      <c r="FKB23"/>
      <c r="FKC23"/>
      <c r="FKD23"/>
      <c r="FKE23"/>
      <c r="FKF23"/>
      <c r="FKG23"/>
      <c r="FKH23"/>
      <c r="FKI23"/>
      <c r="FKJ23"/>
      <c r="FKK23"/>
      <c r="FKL23"/>
      <c r="FKM23"/>
      <c r="FKN23"/>
      <c r="FKO23"/>
      <c r="FKP23"/>
      <c r="FKQ23"/>
      <c r="FKR23"/>
      <c r="FKS23"/>
      <c r="FKT23"/>
      <c r="FKU23"/>
      <c r="FKV23"/>
      <c r="FKW23"/>
      <c r="FKX23"/>
      <c r="FKY23"/>
      <c r="FKZ23"/>
      <c r="FLA23"/>
      <c r="FLB23"/>
      <c r="FLC23"/>
      <c r="FLD23"/>
      <c r="FLE23"/>
      <c r="FLF23"/>
      <c r="FLG23"/>
      <c r="FLH23"/>
      <c r="FLI23"/>
      <c r="FLJ23"/>
      <c r="FLK23"/>
      <c r="FLL23"/>
      <c r="FLM23"/>
      <c r="FLN23"/>
      <c r="FLO23"/>
      <c r="FLP23"/>
      <c r="FLQ23"/>
      <c r="FLR23"/>
      <c r="FLS23"/>
      <c r="FLT23"/>
      <c r="FLU23"/>
      <c r="FLV23"/>
      <c r="FLW23"/>
      <c r="FLX23"/>
      <c r="FLY23"/>
      <c r="FLZ23"/>
      <c r="FMA23"/>
      <c r="FMB23"/>
      <c r="FMC23"/>
      <c r="FMD23"/>
      <c r="FME23"/>
      <c r="FMF23"/>
      <c r="FMG23"/>
      <c r="FMH23"/>
      <c r="FMI23"/>
      <c r="FMJ23"/>
      <c r="FMK23"/>
      <c r="FML23"/>
      <c r="FMM23"/>
      <c r="FMN23"/>
      <c r="FMO23"/>
      <c r="FMP23"/>
      <c r="FMQ23"/>
      <c r="FMR23"/>
      <c r="FMS23"/>
      <c r="FMT23"/>
      <c r="FMU23"/>
      <c r="FMV23"/>
      <c r="FMW23"/>
      <c r="FMX23"/>
      <c r="FMY23"/>
      <c r="FMZ23"/>
      <c r="FNA23"/>
      <c r="FNB23"/>
      <c r="FNC23"/>
      <c r="FND23"/>
      <c r="FNE23"/>
      <c r="FNF23"/>
      <c r="FNG23"/>
      <c r="FNH23"/>
      <c r="FNI23"/>
      <c r="FNJ23"/>
      <c r="FNK23"/>
      <c r="FNL23"/>
      <c r="FNM23"/>
      <c r="FNN23"/>
      <c r="FNO23"/>
      <c r="FNP23"/>
      <c r="FNQ23"/>
      <c r="FNR23"/>
      <c r="FNS23"/>
      <c r="FNT23"/>
      <c r="FNU23"/>
      <c r="FNV23"/>
      <c r="FNW23"/>
      <c r="FNX23"/>
      <c r="FNY23"/>
      <c r="FNZ23"/>
      <c r="FOA23"/>
      <c r="FOB23"/>
      <c r="FOC23"/>
      <c r="FOD23"/>
      <c r="FOE23"/>
      <c r="FOF23"/>
      <c r="FOG23"/>
      <c r="FOH23"/>
      <c r="FOI23"/>
      <c r="FOJ23"/>
      <c r="FOK23"/>
      <c r="FOL23"/>
      <c r="FOM23"/>
      <c r="FON23"/>
      <c r="FOO23"/>
      <c r="FOP23"/>
      <c r="FOQ23"/>
      <c r="FOR23"/>
      <c r="FOS23"/>
      <c r="FOT23"/>
      <c r="FOU23"/>
      <c r="FOV23"/>
      <c r="FOW23"/>
      <c r="FOX23"/>
      <c r="FOY23"/>
      <c r="FOZ23"/>
      <c r="FPA23"/>
      <c r="FPB23"/>
      <c r="FPC23"/>
      <c r="FPD23"/>
      <c r="FPE23"/>
      <c r="FPF23"/>
      <c r="FPG23"/>
      <c r="FPH23"/>
      <c r="FPI23"/>
      <c r="FPJ23"/>
      <c r="FPK23"/>
      <c r="FPL23"/>
      <c r="FPM23"/>
      <c r="FPN23"/>
      <c r="FPO23"/>
      <c r="FPP23"/>
      <c r="FPQ23"/>
      <c r="FPR23"/>
      <c r="FPS23"/>
      <c r="FPT23"/>
      <c r="FPU23"/>
      <c r="FPV23"/>
      <c r="FPW23"/>
      <c r="FPX23"/>
      <c r="FPY23"/>
      <c r="FPZ23"/>
      <c r="FQA23"/>
      <c r="FQB23"/>
      <c r="FQC23"/>
      <c r="FQD23"/>
      <c r="FQE23"/>
      <c r="FQF23"/>
      <c r="FQG23"/>
      <c r="FQH23"/>
      <c r="FQI23"/>
      <c r="FQJ23"/>
      <c r="FQK23"/>
      <c r="FQL23"/>
      <c r="FQM23"/>
      <c r="FQN23"/>
      <c r="FQO23"/>
      <c r="FQP23"/>
      <c r="FQQ23"/>
      <c r="FQR23"/>
      <c r="FQS23"/>
      <c r="FQT23"/>
      <c r="FQU23"/>
      <c r="FQV23"/>
      <c r="FQW23"/>
      <c r="FQX23"/>
      <c r="FQY23"/>
      <c r="FQZ23"/>
      <c r="FRA23"/>
      <c r="FRB23"/>
      <c r="FRC23"/>
      <c r="FRD23"/>
      <c r="FRE23"/>
      <c r="FRF23"/>
      <c r="FRG23"/>
      <c r="FRH23"/>
      <c r="FRI23"/>
      <c r="FRJ23"/>
      <c r="FRK23"/>
      <c r="FRL23"/>
      <c r="FRM23"/>
      <c r="FRN23"/>
      <c r="FRO23"/>
      <c r="FRP23"/>
      <c r="FRQ23"/>
      <c r="FRR23"/>
      <c r="FRS23"/>
      <c r="FRT23"/>
      <c r="FRU23"/>
      <c r="FRV23"/>
      <c r="FRW23"/>
      <c r="FRX23"/>
      <c r="FRY23"/>
      <c r="FRZ23"/>
      <c r="FSA23"/>
      <c r="FSB23"/>
      <c r="FSC23"/>
      <c r="FSD23"/>
      <c r="FSE23"/>
      <c r="FSF23"/>
      <c r="FSG23"/>
      <c r="FSH23"/>
      <c r="FSI23"/>
      <c r="FSJ23"/>
      <c r="FSK23"/>
      <c r="FSL23"/>
      <c r="FSM23"/>
      <c r="FSN23"/>
      <c r="FSO23"/>
      <c r="FSP23"/>
      <c r="FSQ23"/>
      <c r="FSR23"/>
      <c r="FSS23"/>
      <c r="FST23"/>
      <c r="FSU23"/>
      <c r="FSV23"/>
      <c r="FSW23"/>
      <c r="FSX23"/>
      <c r="FSY23"/>
      <c r="FSZ23"/>
      <c r="FTA23"/>
      <c r="FTB23"/>
      <c r="FTC23"/>
      <c r="FTD23"/>
      <c r="FTE23"/>
      <c r="FTF23"/>
      <c r="FTG23"/>
      <c r="FTH23"/>
      <c r="FTI23"/>
      <c r="FTJ23"/>
      <c r="FTK23"/>
      <c r="FTL23"/>
      <c r="FTM23"/>
      <c r="FTN23"/>
      <c r="FTO23"/>
      <c r="FTP23"/>
      <c r="FTQ23"/>
      <c r="FTR23"/>
      <c r="FTS23"/>
      <c r="FTT23"/>
      <c r="FTU23"/>
      <c r="FTV23"/>
      <c r="FTW23"/>
      <c r="FTX23"/>
      <c r="FTY23"/>
      <c r="FTZ23"/>
      <c r="FUA23"/>
      <c r="FUB23"/>
      <c r="FUC23"/>
      <c r="FUD23"/>
      <c r="FUE23"/>
      <c r="FUF23"/>
      <c r="FUG23"/>
      <c r="FUH23"/>
      <c r="FUI23"/>
      <c r="FUJ23"/>
      <c r="FUK23"/>
      <c r="FUL23"/>
      <c r="FUM23"/>
      <c r="FUN23"/>
      <c r="FUO23"/>
      <c r="FUP23"/>
      <c r="FUQ23"/>
      <c r="FUR23"/>
      <c r="FUS23"/>
      <c r="FUT23"/>
      <c r="FUU23"/>
      <c r="FUV23"/>
      <c r="FUW23"/>
      <c r="FUX23"/>
      <c r="FUY23"/>
      <c r="FUZ23"/>
      <c r="FVA23"/>
      <c r="FVB23"/>
      <c r="FVC23"/>
      <c r="FVD23"/>
      <c r="FVE23"/>
      <c r="FVF23"/>
      <c r="FVG23"/>
      <c r="FVH23"/>
      <c r="FVI23"/>
      <c r="FVJ23"/>
      <c r="FVK23"/>
      <c r="FVL23"/>
      <c r="FVM23"/>
      <c r="FVN23"/>
      <c r="FVO23"/>
      <c r="FVP23"/>
      <c r="FVQ23"/>
      <c r="FVR23"/>
      <c r="FVS23"/>
      <c r="FVT23"/>
      <c r="FVU23"/>
      <c r="FVV23"/>
      <c r="FVW23"/>
      <c r="FVX23"/>
      <c r="FVY23"/>
      <c r="FVZ23"/>
      <c r="FWA23"/>
      <c r="FWB23"/>
      <c r="FWC23"/>
      <c r="FWD23"/>
      <c r="FWE23"/>
      <c r="FWF23"/>
      <c r="FWG23"/>
      <c r="FWH23"/>
      <c r="FWI23"/>
      <c r="FWJ23"/>
      <c r="FWK23"/>
      <c r="FWL23"/>
      <c r="FWM23"/>
      <c r="FWN23"/>
      <c r="FWO23"/>
      <c r="FWP23"/>
      <c r="FWQ23"/>
      <c r="FWR23"/>
      <c r="FWS23"/>
      <c r="FWT23"/>
      <c r="FWU23"/>
      <c r="FWV23"/>
      <c r="FWW23"/>
      <c r="FWX23"/>
      <c r="FWY23"/>
      <c r="FWZ23"/>
      <c r="FXA23"/>
      <c r="FXB23"/>
      <c r="FXC23"/>
      <c r="FXD23"/>
      <c r="FXE23"/>
      <c r="FXF23"/>
      <c r="FXG23"/>
      <c r="FXH23"/>
      <c r="FXI23"/>
      <c r="FXJ23"/>
      <c r="FXK23"/>
      <c r="FXL23"/>
      <c r="FXM23"/>
      <c r="FXN23"/>
      <c r="FXO23"/>
      <c r="FXP23"/>
      <c r="FXQ23"/>
      <c r="FXR23"/>
      <c r="FXS23"/>
      <c r="FXT23"/>
      <c r="FXU23"/>
      <c r="FXV23"/>
      <c r="FXW23"/>
      <c r="FXX23"/>
      <c r="FXY23"/>
      <c r="FXZ23"/>
      <c r="FYA23"/>
      <c r="FYB23"/>
      <c r="FYC23"/>
      <c r="FYD23"/>
      <c r="FYE23"/>
      <c r="FYF23"/>
      <c r="FYG23"/>
      <c r="FYH23"/>
      <c r="FYI23"/>
      <c r="FYJ23"/>
      <c r="FYK23"/>
      <c r="FYL23"/>
      <c r="FYM23"/>
      <c r="FYN23"/>
      <c r="FYO23"/>
      <c r="FYP23"/>
      <c r="FYQ23"/>
      <c r="FYR23"/>
      <c r="FYS23"/>
      <c r="FYT23"/>
      <c r="FYU23"/>
      <c r="FYV23"/>
      <c r="FYW23"/>
      <c r="FYX23"/>
      <c r="FYY23"/>
      <c r="FYZ23"/>
      <c r="FZA23"/>
      <c r="FZB23"/>
      <c r="FZC23"/>
      <c r="FZD23"/>
      <c r="FZE23"/>
      <c r="FZF23"/>
      <c r="FZG23"/>
      <c r="FZH23"/>
      <c r="FZI23"/>
      <c r="FZJ23"/>
      <c r="FZK23"/>
      <c r="FZL23"/>
      <c r="FZM23"/>
      <c r="FZN23"/>
      <c r="FZO23"/>
      <c r="FZP23"/>
      <c r="FZQ23"/>
      <c r="FZR23"/>
      <c r="FZS23"/>
      <c r="FZT23"/>
      <c r="FZU23"/>
      <c r="FZV23"/>
      <c r="FZW23"/>
      <c r="FZX23"/>
      <c r="FZY23"/>
      <c r="FZZ23"/>
      <c r="GAA23"/>
      <c r="GAB23"/>
      <c r="GAC23"/>
      <c r="GAD23"/>
      <c r="GAE23"/>
      <c r="GAF23"/>
      <c r="GAG23"/>
      <c r="GAH23"/>
      <c r="GAI23"/>
      <c r="GAJ23"/>
      <c r="GAK23"/>
      <c r="GAL23"/>
      <c r="GAM23"/>
      <c r="GAN23"/>
      <c r="GAO23"/>
      <c r="GAP23"/>
      <c r="GAQ23"/>
      <c r="GAR23"/>
      <c r="GAS23"/>
      <c r="GAT23"/>
      <c r="GAU23"/>
      <c r="GAV23"/>
      <c r="GAW23"/>
      <c r="GAX23"/>
      <c r="GAY23"/>
      <c r="GAZ23"/>
      <c r="GBA23"/>
      <c r="GBB23"/>
      <c r="GBC23"/>
      <c r="GBD23"/>
      <c r="GBE23"/>
      <c r="GBF23"/>
      <c r="GBG23"/>
      <c r="GBH23"/>
      <c r="GBI23"/>
      <c r="GBJ23"/>
      <c r="GBK23"/>
      <c r="GBL23"/>
      <c r="GBM23"/>
      <c r="GBN23"/>
      <c r="GBO23"/>
      <c r="GBP23"/>
      <c r="GBQ23"/>
      <c r="GBR23"/>
      <c r="GBS23"/>
      <c r="GBT23"/>
      <c r="GBU23"/>
      <c r="GBV23"/>
      <c r="GBW23"/>
      <c r="GBX23"/>
      <c r="GBY23"/>
      <c r="GBZ23"/>
      <c r="GCA23"/>
      <c r="GCB23"/>
      <c r="GCC23"/>
      <c r="GCD23"/>
      <c r="GCE23"/>
      <c r="GCF23"/>
      <c r="GCG23"/>
      <c r="GCH23"/>
      <c r="GCI23"/>
      <c r="GCJ23"/>
      <c r="GCK23"/>
      <c r="GCL23"/>
      <c r="GCM23"/>
      <c r="GCN23"/>
      <c r="GCO23"/>
      <c r="GCP23"/>
      <c r="GCQ23"/>
      <c r="GCR23"/>
      <c r="GCS23"/>
      <c r="GCT23"/>
      <c r="GCU23"/>
      <c r="GCV23"/>
      <c r="GCW23"/>
      <c r="GCX23"/>
      <c r="GCY23"/>
      <c r="GCZ23"/>
      <c r="GDA23"/>
      <c r="GDB23"/>
      <c r="GDC23"/>
      <c r="GDD23"/>
      <c r="GDE23"/>
      <c r="GDF23"/>
      <c r="GDG23"/>
      <c r="GDH23"/>
      <c r="GDI23"/>
      <c r="GDJ23"/>
      <c r="GDK23"/>
      <c r="GDL23"/>
      <c r="GDM23"/>
      <c r="GDN23"/>
      <c r="GDO23"/>
      <c r="GDP23"/>
      <c r="GDQ23"/>
      <c r="GDR23"/>
      <c r="GDS23"/>
      <c r="GDT23"/>
      <c r="GDU23"/>
      <c r="GDV23"/>
      <c r="GDW23"/>
      <c r="GDX23"/>
      <c r="GDY23"/>
      <c r="GDZ23"/>
      <c r="GEA23"/>
      <c r="GEB23"/>
      <c r="GEC23"/>
      <c r="GED23"/>
      <c r="GEE23"/>
      <c r="GEF23"/>
      <c r="GEG23"/>
      <c r="GEH23"/>
      <c r="GEI23"/>
      <c r="GEJ23"/>
      <c r="GEK23"/>
      <c r="GEL23"/>
      <c r="GEM23"/>
      <c r="GEN23"/>
      <c r="GEO23"/>
      <c r="GEP23"/>
      <c r="GEQ23"/>
      <c r="GER23"/>
      <c r="GES23"/>
      <c r="GET23"/>
      <c r="GEU23"/>
      <c r="GEV23"/>
      <c r="GEW23"/>
      <c r="GEX23"/>
      <c r="GEY23"/>
      <c r="GEZ23"/>
      <c r="GFA23"/>
      <c r="GFB23"/>
      <c r="GFC23"/>
      <c r="GFD23"/>
      <c r="GFE23"/>
      <c r="GFF23"/>
      <c r="GFG23"/>
      <c r="GFH23"/>
      <c r="GFI23"/>
      <c r="GFJ23"/>
      <c r="GFK23"/>
      <c r="GFL23"/>
      <c r="GFM23"/>
      <c r="GFN23"/>
      <c r="GFO23"/>
      <c r="GFP23"/>
      <c r="GFQ23"/>
      <c r="GFR23"/>
      <c r="GFS23"/>
      <c r="GFT23"/>
      <c r="GFU23"/>
      <c r="GFV23"/>
      <c r="GFW23"/>
      <c r="GFX23"/>
      <c r="GFY23"/>
      <c r="GFZ23"/>
      <c r="GGA23"/>
      <c r="GGB23"/>
      <c r="GGC23"/>
      <c r="GGD23"/>
      <c r="GGE23"/>
      <c r="GGF23"/>
      <c r="GGG23"/>
      <c r="GGH23"/>
      <c r="GGI23"/>
      <c r="GGJ23"/>
      <c r="GGK23"/>
      <c r="GGL23"/>
      <c r="GGM23"/>
      <c r="GGN23"/>
      <c r="GGO23"/>
      <c r="GGP23"/>
      <c r="GGQ23"/>
      <c r="GGR23"/>
      <c r="GGS23"/>
      <c r="GGT23"/>
      <c r="GGU23"/>
      <c r="GGV23"/>
      <c r="GGW23"/>
      <c r="GGX23"/>
      <c r="GGY23"/>
      <c r="GGZ23"/>
      <c r="GHA23"/>
      <c r="GHB23"/>
      <c r="GHC23"/>
      <c r="GHD23"/>
      <c r="GHE23"/>
      <c r="GHF23"/>
      <c r="GHG23"/>
      <c r="GHH23"/>
      <c r="GHI23"/>
      <c r="GHJ23"/>
      <c r="GHK23"/>
      <c r="GHL23"/>
      <c r="GHM23"/>
      <c r="GHN23"/>
      <c r="GHO23"/>
      <c r="GHP23"/>
      <c r="GHQ23"/>
      <c r="GHR23"/>
      <c r="GHS23"/>
      <c r="GHT23"/>
      <c r="GHU23"/>
      <c r="GHV23"/>
      <c r="GHW23"/>
      <c r="GHX23"/>
      <c r="GHY23"/>
      <c r="GHZ23"/>
      <c r="GIA23"/>
      <c r="GIB23"/>
      <c r="GIC23"/>
      <c r="GID23"/>
      <c r="GIE23"/>
      <c r="GIF23"/>
      <c r="GIG23"/>
      <c r="GIH23"/>
      <c r="GII23"/>
      <c r="GIJ23"/>
      <c r="GIK23"/>
      <c r="GIL23"/>
      <c r="GIM23"/>
      <c r="GIN23"/>
      <c r="GIO23"/>
      <c r="GIP23"/>
      <c r="GIQ23"/>
      <c r="GIR23"/>
      <c r="GIS23"/>
      <c r="GIT23"/>
      <c r="GIU23"/>
      <c r="GIV23"/>
      <c r="GIW23"/>
      <c r="GIX23"/>
      <c r="GIY23"/>
      <c r="GIZ23"/>
      <c r="GJA23"/>
      <c r="GJB23"/>
      <c r="GJC23"/>
      <c r="GJD23"/>
      <c r="GJE23"/>
      <c r="GJF23"/>
      <c r="GJG23"/>
      <c r="GJH23"/>
      <c r="GJI23"/>
      <c r="GJJ23"/>
      <c r="GJK23"/>
      <c r="GJL23"/>
      <c r="GJM23"/>
      <c r="GJN23"/>
      <c r="GJO23"/>
      <c r="GJP23"/>
      <c r="GJQ23"/>
      <c r="GJR23"/>
      <c r="GJS23"/>
      <c r="GJT23"/>
      <c r="GJU23"/>
      <c r="GJV23"/>
      <c r="GJW23"/>
      <c r="GJX23"/>
      <c r="GJY23"/>
      <c r="GJZ23"/>
      <c r="GKA23"/>
      <c r="GKB23"/>
      <c r="GKC23"/>
      <c r="GKD23"/>
      <c r="GKE23"/>
      <c r="GKF23"/>
      <c r="GKG23"/>
      <c r="GKH23"/>
      <c r="GKI23"/>
      <c r="GKJ23"/>
      <c r="GKK23"/>
      <c r="GKL23"/>
      <c r="GKM23"/>
      <c r="GKN23"/>
      <c r="GKO23"/>
      <c r="GKP23"/>
      <c r="GKQ23"/>
      <c r="GKR23"/>
      <c r="GKS23"/>
      <c r="GKT23"/>
      <c r="GKU23"/>
      <c r="GKV23"/>
      <c r="GKW23"/>
      <c r="GKX23"/>
      <c r="GKY23"/>
      <c r="GKZ23"/>
      <c r="GLA23"/>
      <c r="GLB23"/>
      <c r="GLC23"/>
      <c r="GLD23"/>
      <c r="GLE23"/>
      <c r="GLF23"/>
      <c r="GLG23"/>
      <c r="GLH23"/>
      <c r="GLI23"/>
      <c r="GLJ23"/>
      <c r="GLK23"/>
      <c r="GLL23"/>
      <c r="GLM23"/>
      <c r="GLN23"/>
      <c r="GLO23"/>
      <c r="GLP23"/>
      <c r="GLQ23"/>
      <c r="GLR23"/>
      <c r="GLS23"/>
      <c r="GLT23"/>
      <c r="GLU23"/>
      <c r="GLV23"/>
      <c r="GLW23"/>
      <c r="GLX23"/>
      <c r="GLY23"/>
      <c r="GLZ23"/>
      <c r="GMA23"/>
      <c r="GMB23"/>
      <c r="GMC23"/>
      <c r="GMD23"/>
      <c r="GME23"/>
      <c r="GMF23"/>
      <c r="GMG23"/>
      <c r="GMH23"/>
      <c r="GMI23"/>
      <c r="GMJ23"/>
      <c r="GMK23"/>
      <c r="GML23"/>
      <c r="GMM23"/>
      <c r="GMN23"/>
      <c r="GMO23"/>
      <c r="GMP23"/>
      <c r="GMQ23"/>
      <c r="GMR23"/>
      <c r="GMS23"/>
      <c r="GMT23"/>
      <c r="GMU23"/>
      <c r="GMV23"/>
      <c r="GMW23"/>
      <c r="GMX23"/>
      <c r="GMY23"/>
      <c r="GMZ23"/>
      <c r="GNA23"/>
      <c r="GNB23"/>
      <c r="GNC23"/>
      <c r="GND23"/>
      <c r="GNE23"/>
      <c r="GNF23"/>
      <c r="GNG23"/>
      <c r="GNH23"/>
      <c r="GNI23"/>
      <c r="GNJ23"/>
      <c r="GNK23"/>
      <c r="GNL23"/>
      <c r="GNM23"/>
      <c r="GNN23"/>
      <c r="GNO23"/>
      <c r="GNP23"/>
      <c r="GNQ23"/>
      <c r="GNR23"/>
      <c r="GNS23"/>
      <c r="GNT23"/>
      <c r="GNU23"/>
      <c r="GNV23"/>
      <c r="GNW23"/>
      <c r="GNX23"/>
      <c r="GNY23"/>
      <c r="GNZ23"/>
      <c r="GOA23"/>
      <c r="GOB23"/>
      <c r="GOC23"/>
      <c r="GOD23"/>
      <c r="GOE23"/>
      <c r="GOF23"/>
      <c r="GOG23"/>
      <c r="GOH23"/>
      <c r="GOI23"/>
      <c r="GOJ23"/>
      <c r="GOK23"/>
      <c r="GOL23"/>
      <c r="GOM23"/>
      <c r="GON23"/>
      <c r="GOO23"/>
      <c r="GOP23"/>
      <c r="GOQ23"/>
      <c r="GOR23"/>
      <c r="GOS23"/>
      <c r="GOT23"/>
      <c r="GOU23"/>
      <c r="GOV23"/>
      <c r="GOW23"/>
      <c r="GOX23"/>
      <c r="GOY23"/>
      <c r="GOZ23"/>
      <c r="GPA23"/>
      <c r="GPB23"/>
      <c r="GPC23"/>
      <c r="GPD23"/>
      <c r="GPE23"/>
      <c r="GPF23"/>
      <c r="GPG23"/>
      <c r="GPH23"/>
      <c r="GPI23"/>
      <c r="GPJ23"/>
      <c r="GPK23"/>
      <c r="GPL23"/>
      <c r="GPM23"/>
      <c r="GPN23"/>
      <c r="GPO23"/>
      <c r="GPP23"/>
      <c r="GPQ23"/>
      <c r="GPR23"/>
      <c r="GPS23"/>
      <c r="GPT23"/>
      <c r="GPU23"/>
      <c r="GPV23"/>
      <c r="GPW23"/>
      <c r="GPX23"/>
      <c r="GPY23"/>
      <c r="GPZ23"/>
      <c r="GQA23"/>
      <c r="GQB23"/>
      <c r="GQC23"/>
      <c r="GQD23"/>
      <c r="GQE23"/>
      <c r="GQF23"/>
      <c r="GQG23"/>
      <c r="GQH23"/>
      <c r="GQI23"/>
      <c r="GQJ23"/>
      <c r="GQK23"/>
      <c r="GQL23"/>
      <c r="GQM23"/>
      <c r="GQN23"/>
      <c r="GQO23"/>
      <c r="GQP23"/>
      <c r="GQQ23"/>
      <c r="GQR23"/>
      <c r="GQS23"/>
      <c r="GQT23"/>
      <c r="GQU23"/>
      <c r="GQV23"/>
      <c r="GQW23"/>
      <c r="GQX23"/>
      <c r="GQY23"/>
      <c r="GQZ23"/>
      <c r="GRA23"/>
      <c r="GRB23"/>
      <c r="GRC23"/>
      <c r="GRD23"/>
      <c r="GRE23"/>
      <c r="GRF23"/>
      <c r="GRG23"/>
      <c r="GRH23"/>
      <c r="GRI23"/>
      <c r="GRJ23"/>
      <c r="GRK23"/>
      <c r="GRL23"/>
      <c r="GRM23"/>
      <c r="GRN23"/>
      <c r="GRO23"/>
      <c r="GRP23"/>
      <c r="GRQ23"/>
      <c r="GRR23"/>
      <c r="GRS23"/>
      <c r="GRT23"/>
      <c r="GRU23"/>
      <c r="GRV23"/>
      <c r="GRW23"/>
      <c r="GRX23"/>
      <c r="GRY23"/>
      <c r="GRZ23"/>
      <c r="GSA23"/>
      <c r="GSB23"/>
      <c r="GSC23"/>
      <c r="GSD23"/>
      <c r="GSE23"/>
      <c r="GSF23"/>
      <c r="GSG23"/>
      <c r="GSH23"/>
      <c r="GSI23"/>
      <c r="GSJ23"/>
      <c r="GSK23"/>
      <c r="GSL23"/>
      <c r="GSM23"/>
      <c r="GSN23"/>
      <c r="GSO23"/>
      <c r="GSP23"/>
      <c r="GSQ23"/>
      <c r="GSR23"/>
      <c r="GSS23"/>
      <c r="GST23"/>
      <c r="GSU23"/>
      <c r="GSV23"/>
      <c r="GSW23"/>
      <c r="GSX23"/>
      <c r="GSY23"/>
      <c r="GSZ23"/>
      <c r="GTA23"/>
      <c r="GTB23"/>
      <c r="GTC23"/>
      <c r="GTD23"/>
      <c r="GTE23"/>
      <c r="GTF23"/>
      <c r="GTG23"/>
      <c r="GTH23"/>
      <c r="GTI23"/>
      <c r="GTJ23"/>
      <c r="GTK23"/>
      <c r="GTL23"/>
      <c r="GTM23"/>
      <c r="GTN23"/>
      <c r="GTO23"/>
      <c r="GTP23"/>
      <c r="GTQ23"/>
      <c r="GTR23"/>
      <c r="GTS23"/>
      <c r="GTT23"/>
      <c r="GTU23"/>
      <c r="GTV23"/>
      <c r="GTW23"/>
      <c r="GTX23"/>
      <c r="GTY23"/>
      <c r="GTZ23"/>
      <c r="GUA23"/>
      <c r="GUB23"/>
      <c r="GUC23"/>
      <c r="GUD23"/>
      <c r="GUE23"/>
      <c r="GUF23"/>
      <c r="GUG23"/>
      <c r="GUH23"/>
      <c r="GUI23"/>
      <c r="GUJ23"/>
      <c r="GUK23"/>
      <c r="GUL23"/>
      <c r="GUM23"/>
      <c r="GUN23"/>
      <c r="GUO23"/>
      <c r="GUP23"/>
      <c r="GUQ23"/>
      <c r="GUR23"/>
      <c r="GUS23"/>
      <c r="GUT23"/>
      <c r="GUU23"/>
      <c r="GUV23"/>
      <c r="GUW23"/>
      <c r="GUX23"/>
      <c r="GUY23"/>
      <c r="GUZ23"/>
      <c r="GVA23"/>
      <c r="GVB23"/>
      <c r="GVC23"/>
      <c r="GVD23"/>
      <c r="GVE23"/>
      <c r="GVF23"/>
      <c r="GVG23"/>
      <c r="GVH23"/>
      <c r="GVI23"/>
      <c r="GVJ23"/>
      <c r="GVK23"/>
      <c r="GVL23"/>
      <c r="GVM23"/>
      <c r="GVN23"/>
      <c r="GVO23"/>
      <c r="GVP23"/>
      <c r="GVQ23"/>
      <c r="GVR23"/>
      <c r="GVS23"/>
      <c r="GVT23"/>
      <c r="GVU23"/>
      <c r="GVV23"/>
      <c r="GVW23"/>
      <c r="GVX23"/>
      <c r="GVY23"/>
      <c r="GVZ23"/>
      <c r="GWA23"/>
      <c r="GWB23"/>
      <c r="GWC23"/>
      <c r="GWD23"/>
      <c r="GWE23"/>
      <c r="GWF23"/>
      <c r="GWG23"/>
      <c r="GWH23"/>
      <c r="GWI23"/>
      <c r="GWJ23"/>
      <c r="GWK23"/>
      <c r="GWL23"/>
      <c r="GWM23"/>
      <c r="GWN23"/>
      <c r="GWO23"/>
      <c r="GWP23"/>
      <c r="GWQ23"/>
      <c r="GWR23"/>
      <c r="GWS23"/>
      <c r="GWT23"/>
      <c r="GWU23"/>
      <c r="GWV23"/>
      <c r="GWW23"/>
      <c r="GWX23"/>
      <c r="GWY23"/>
      <c r="GWZ23"/>
      <c r="GXA23"/>
      <c r="GXB23"/>
      <c r="GXC23"/>
      <c r="GXD23"/>
      <c r="GXE23"/>
      <c r="GXF23"/>
      <c r="GXG23"/>
      <c r="GXH23"/>
      <c r="GXI23"/>
      <c r="GXJ23"/>
      <c r="GXK23"/>
      <c r="GXL23"/>
      <c r="GXM23"/>
      <c r="GXN23"/>
      <c r="GXO23"/>
      <c r="GXP23"/>
      <c r="GXQ23"/>
      <c r="GXR23"/>
      <c r="GXS23"/>
      <c r="GXT23"/>
      <c r="GXU23"/>
      <c r="GXV23"/>
      <c r="GXW23"/>
      <c r="GXX23"/>
      <c r="GXY23"/>
      <c r="GXZ23"/>
      <c r="GYA23"/>
      <c r="GYB23"/>
      <c r="GYC23"/>
      <c r="GYD23"/>
      <c r="GYE23"/>
      <c r="GYF23"/>
      <c r="GYG23"/>
      <c r="GYH23"/>
      <c r="GYI23"/>
      <c r="GYJ23"/>
      <c r="GYK23"/>
      <c r="GYL23"/>
      <c r="GYM23"/>
      <c r="GYN23"/>
      <c r="GYO23"/>
      <c r="GYP23"/>
      <c r="GYQ23"/>
      <c r="GYR23"/>
      <c r="GYS23"/>
      <c r="GYT23"/>
      <c r="GYU23"/>
      <c r="GYV23"/>
      <c r="GYW23"/>
      <c r="GYX23"/>
      <c r="GYY23"/>
      <c r="GYZ23"/>
      <c r="GZA23"/>
      <c r="GZB23"/>
      <c r="GZC23"/>
      <c r="GZD23"/>
      <c r="GZE23"/>
      <c r="GZF23"/>
      <c r="GZG23"/>
      <c r="GZH23"/>
      <c r="GZI23"/>
      <c r="GZJ23"/>
      <c r="GZK23"/>
      <c r="GZL23"/>
      <c r="GZM23"/>
      <c r="GZN23"/>
      <c r="GZO23"/>
      <c r="GZP23"/>
      <c r="GZQ23"/>
      <c r="GZR23"/>
      <c r="GZS23"/>
      <c r="GZT23"/>
      <c r="GZU23"/>
      <c r="GZV23"/>
      <c r="GZW23"/>
      <c r="GZX23"/>
      <c r="GZY23"/>
      <c r="GZZ23"/>
      <c r="HAA23"/>
      <c r="HAB23"/>
      <c r="HAC23"/>
      <c r="HAD23"/>
      <c r="HAE23"/>
      <c r="HAF23"/>
      <c r="HAG23"/>
      <c r="HAH23"/>
      <c r="HAI23"/>
      <c r="HAJ23"/>
      <c r="HAK23"/>
      <c r="HAL23"/>
      <c r="HAM23"/>
      <c r="HAN23"/>
      <c r="HAO23"/>
      <c r="HAP23"/>
      <c r="HAQ23"/>
      <c r="HAR23"/>
      <c r="HAS23"/>
      <c r="HAT23"/>
      <c r="HAU23"/>
      <c r="HAV23"/>
      <c r="HAW23"/>
      <c r="HAX23"/>
      <c r="HAY23"/>
      <c r="HAZ23"/>
      <c r="HBA23"/>
      <c r="HBB23"/>
      <c r="HBC23"/>
      <c r="HBD23"/>
      <c r="HBE23"/>
      <c r="HBF23"/>
      <c r="HBG23"/>
      <c r="HBH23"/>
      <c r="HBI23"/>
      <c r="HBJ23"/>
      <c r="HBK23"/>
      <c r="HBL23"/>
      <c r="HBM23"/>
      <c r="HBN23"/>
      <c r="HBO23"/>
      <c r="HBP23"/>
      <c r="HBQ23"/>
      <c r="HBR23"/>
      <c r="HBS23"/>
      <c r="HBT23"/>
      <c r="HBU23"/>
      <c r="HBV23"/>
      <c r="HBW23"/>
      <c r="HBX23"/>
      <c r="HBY23"/>
      <c r="HBZ23"/>
      <c r="HCA23"/>
      <c r="HCB23"/>
      <c r="HCC23"/>
      <c r="HCD23"/>
      <c r="HCE23"/>
      <c r="HCF23"/>
      <c r="HCG23"/>
      <c r="HCH23"/>
      <c r="HCI23"/>
      <c r="HCJ23"/>
      <c r="HCK23"/>
      <c r="HCL23"/>
      <c r="HCM23"/>
      <c r="HCN23"/>
      <c r="HCO23"/>
      <c r="HCP23"/>
      <c r="HCQ23"/>
      <c r="HCR23"/>
      <c r="HCS23"/>
      <c r="HCT23"/>
      <c r="HCU23"/>
      <c r="HCV23"/>
      <c r="HCW23"/>
      <c r="HCX23"/>
      <c r="HCY23"/>
      <c r="HCZ23"/>
      <c r="HDA23"/>
      <c r="HDB23"/>
      <c r="HDC23"/>
      <c r="HDD23"/>
      <c r="HDE23"/>
      <c r="HDF23"/>
      <c r="HDG23"/>
      <c r="HDH23"/>
      <c r="HDI23"/>
      <c r="HDJ23"/>
      <c r="HDK23"/>
      <c r="HDL23"/>
      <c r="HDM23"/>
      <c r="HDN23"/>
      <c r="HDO23"/>
      <c r="HDP23"/>
      <c r="HDQ23"/>
      <c r="HDR23"/>
      <c r="HDS23"/>
      <c r="HDT23"/>
      <c r="HDU23"/>
      <c r="HDV23"/>
      <c r="HDW23"/>
      <c r="HDX23"/>
      <c r="HDY23"/>
      <c r="HDZ23"/>
      <c r="HEA23"/>
      <c r="HEB23"/>
      <c r="HEC23"/>
      <c r="HED23"/>
      <c r="HEE23"/>
      <c r="HEF23"/>
      <c r="HEG23"/>
      <c r="HEH23"/>
      <c r="HEI23"/>
      <c r="HEJ23"/>
      <c r="HEK23"/>
      <c r="HEL23"/>
      <c r="HEM23"/>
      <c r="HEN23"/>
      <c r="HEO23"/>
      <c r="HEP23"/>
      <c r="HEQ23"/>
      <c r="HER23"/>
      <c r="HES23"/>
      <c r="HET23"/>
      <c r="HEU23"/>
      <c r="HEV23"/>
      <c r="HEW23"/>
      <c r="HEX23"/>
      <c r="HEY23"/>
      <c r="HEZ23"/>
      <c r="HFA23"/>
      <c r="HFB23"/>
      <c r="HFC23"/>
      <c r="HFD23"/>
      <c r="HFE23"/>
      <c r="HFF23"/>
      <c r="HFG23"/>
      <c r="HFH23"/>
      <c r="HFI23"/>
      <c r="HFJ23"/>
      <c r="HFK23"/>
      <c r="HFL23"/>
      <c r="HFM23"/>
      <c r="HFN23"/>
      <c r="HFO23"/>
      <c r="HFP23"/>
      <c r="HFQ23"/>
      <c r="HFR23"/>
      <c r="HFS23"/>
      <c r="HFT23"/>
      <c r="HFU23"/>
      <c r="HFV23"/>
      <c r="HFW23"/>
      <c r="HFX23"/>
      <c r="HFY23"/>
      <c r="HFZ23"/>
      <c r="HGA23"/>
      <c r="HGB23"/>
      <c r="HGC23"/>
      <c r="HGD23"/>
      <c r="HGE23"/>
      <c r="HGF23"/>
      <c r="HGG23"/>
      <c r="HGH23"/>
      <c r="HGI23"/>
      <c r="HGJ23"/>
      <c r="HGK23"/>
      <c r="HGL23"/>
      <c r="HGM23"/>
      <c r="HGN23"/>
      <c r="HGO23"/>
      <c r="HGP23"/>
      <c r="HGQ23"/>
      <c r="HGR23"/>
      <c r="HGS23"/>
      <c r="HGT23"/>
      <c r="HGU23"/>
      <c r="HGV23"/>
      <c r="HGW23"/>
      <c r="HGX23"/>
      <c r="HGY23"/>
      <c r="HGZ23"/>
      <c r="HHA23"/>
      <c r="HHB23"/>
      <c r="HHC23"/>
      <c r="HHD23"/>
      <c r="HHE23"/>
      <c r="HHF23"/>
      <c r="HHG23"/>
      <c r="HHH23"/>
      <c r="HHI23"/>
      <c r="HHJ23"/>
      <c r="HHK23"/>
      <c r="HHL23"/>
      <c r="HHM23"/>
      <c r="HHN23"/>
      <c r="HHO23"/>
      <c r="HHP23"/>
      <c r="HHQ23"/>
      <c r="HHR23"/>
      <c r="HHS23"/>
      <c r="HHT23"/>
      <c r="HHU23"/>
      <c r="HHV23"/>
      <c r="HHW23"/>
      <c r="HHX23"/>
      <c r="HHY23"/>
      <c r="HHZ23"/>
      <c r="HIA23"/>
      <c r="HIB23"/>
      <c r="HIC23"/>
      <c r="HID23"/>
      <c r="HIE23"/>
      <c r="HIF23"/>
      <c r="HIG23"/>
      <c r="HIH23"/>
      <c r="HII23"/>
      <c r="HIJ23"/>
      <c r="HIK23"/>
      <c r="HIL23"/>
      <c r="HIM23"/>
      <c r="HIN23"/>
      <c r="HIO23"/>
      <c r="HIP23"/>
      <c r="HIQ23"/>
      <c r="HIR23"/>
      <c r="HIS23"/>
      <c r="HIT23"/>
      <c r="HIU23"/>
      <c r="HIV23"/>
      <c r="HIW23"/>
      <c r="HIX23"/>
      <c r="HIY23"/>
      <c r="HIZ23"/>
      <c r="HJA23"/>
      <c r="HJB23"/>
      <c r="HJC23"/>
      <c r="HJD23"/>
      <c r="HJE23"/>
      <c r="HJF23"/>
      <c r="HJG23"/>
      <c r="HJH23"/>
      <c r="HJI23"/>
      <c r="HJJ23"/>
      <c r="HJK23"/>
      <c r="HJL23"/>
      <c r="HJM23"/>
      <c r="HJN23"/>
      <c r="HJO23"/>
      <c r="HJP23"/>
      <c r="HJQ23"/>
      <c r="HJR23"/>
      <c r="HJS23"/>
      <c r="HJT23"/>
      <c r="HJU23"/>
      <c r="HJV23"/>
      <c r="HJW23"/>
      <c r="HJX23"/>
      <c r="HJY23"/>
      <c r="HJZ23"/>
      <c r="HKA23"/>
      <c r="HKB23"/>
      <c r="HKC23"/>
      <c r="HKD23"/>
      <c r="HKE23"/>
      <c r="HKF23"/>
      <c r="HKG23"/>
      <c r="HKH23"/>
      <c r="HKI23"/>
      <c r="HKJ23"/>
      <c r="HKK23"/>
      <c r="HKL23"/>
      <c r="HKM23"/>
      <c r="HKN23"/>
      <c r="HKO23"/>
      <c r="HKP23"/>
      <c r="HKQ23"/>
      <c r="HKR23"/>
      <c r="HKS23"/>
      <c r="HKT23"/>
      <c r="HKU23"/>
      <c r="HKV23"/>
      <c r="HKW23"/>
      <c r="HKX23"/>
      <c r="HKY23"/>
      <c r="HKZ23"/>
      <c r="HLA23"/>
      <c r="HLB23"/>
      <c r="HLC23"/>
      <c r="HLD23"/>
      <c r="HLE23"/>
      <c r="HLF23"/>
      <c r="HLG23"/>
      <c r="HLH23"/>
      <c r="HLI23"/>
      <c r="HLJ23"/>
      <c r="HLK23"/>
      <c r="HLL23"/>
      <c r="HLM23"/>
      <c r="HLN23"/>
      <c r="HLO23"/>
      <c r="HLP23"/>
      <c r="HLQ23"/>
      <c r="HLR23"/>
      <c r="HLS23"/>
      <c r="HLT23"/>
      <c r="HLU23"/>
      <c r="HLV23"/>
      <c r="HLW23"/>
      <c r="HLX23"/>
      <c r="HLY23"/>
      <c r="HLZ23"/>
      <c r="HMA23"/>
      <c r="HMB23"/>
      <c r="HMC23"/>
      <c r="HMD23"/>
      <c r="HME23"/>
      <c r="HMF23"/>
      <c r="HMG23"/>
      <c r="HMH23"/>
      <c r="HMI23"/>
      <c r="HMJ23"/>
      <c r="HMK23"/>
      <c r="HML23"/>
      <c r="HMM23"/>
      <c r="HMN23"/>
      <c r="HMO23"/>
      <c r="HMP23"/>
      <c r="HMQ23"/>
      <c r="HMR23"/>
      <c r="HMS23"/>
      <c r="HMT23"/>
      <c r="HMU23"/>
      <c r="HMV23"/>
      <c r="HMW23"/>
      <c r="HMX23"/>
      <c r="HMY23"/>
      <c r="HMZ23"/>
      <c r="HNA23"/>
      <c r="HNB23"/>
      <c r="HNC23"/>
      <c r="HND23"/>
      <c r="HNE23"/>
      <c r="HNF23"/>
      <c r="HNG23"/>
      <c r="HNH23"/>
      <c r="HNI23"/>
      <c r="HNJ23"/>
      <c r="HNK23"/>
      <c r="HNL23"/>
      <c r="HNM23"/>
      <c r="HNN23"/>
      <c r="HNO23"/>
      <c r="HNP23"/>
      <c r="HNQ23"/>
      <c r="HNR23"/>
      <c r="HNS23"/>
      <c r="HNT23"/>
      <c r="HNU23"/>
      <c r="HNV23"/>
      <c r="HNW23"/>
      <c r="HNX23"/>
      <c r="HNY23"/>
      <c r="HNZ23"/>
      <c r="HOA23"/>
      <c r="HOB23"/>
      <c r="HOC23"/>
      <c r="HOD23"/>
      <c r="HOE23"/>
      <c r="HOF23"/>
      <c r="HOG23"/>
      <c r="HOH23"/>
      <c r="HOI23"/>
      <c r="HOJ23"/>
      <c r="HOK23"/>
      <c r="HOL23"/>
      <c r="HOM23"/>
      <c r="HON23"/>
      <c r="HOO23"/>
      <c r="HOP23"/>
      <c r="HOQ23"/>
      <c r="HOR23"/>
      <c r="HOS23"/>
      <c r="HOT23"/>
      <c r="HOU23"/>
      <c r="HOV23"/>
      <c r="HOW23"/>
      <c r="HOX23"/>
      <c r="HOY23"/>
      <c r="HOZ23"/>
      <c r="HPA23"/>
      <c r="HPB23"/>
      <c r="HPC23"/>
      <c r="HPD23"/>
      <c r="HPE23"/>
      <c r="HPF23"/>
      <c r="HPG23"/>
      <c r="HPH23"/>
      <c r="HPI23"/>
      <c r="HPJ23"/>
      <c r="HPK23"/>
      <c r="HPL23"/>
      <c r="HPM23"/>
      <c r="HPN23"/>
      <c r="HPO23"/>
      <c r="HPP23"/>
      <c r="HPQ23"/>
      <c r="HPR23"/>
      <c r="HPS23"/>
      <c r="HPT23"/>
      <c r="HPU23"/>
      <c r="HPV23"/>
      <c r="HPW23"/>
      <c r="HPX23"/>
      <c r="HPY23"/>
      <c r="HPZ23"/>
      <c r="HQA23"/>
      <c r="HQB23"/>
      <c r="HQC23"/>
      <c r="HQD23"/>
      <c r="HQE23"/>
      <c r="HQF23"/>
      <c r="HQG23"/>
      <c r="HQH23"/>
      <c r="HQI23"/>
      <c r="HQJ23"/>
      <c r="HQK23"/>
      <c r="HQL23"/>
      <c r="HQM23"/>
      <c r="HQN23"/>
      <c r="HQO23"/>
      <c r="HQP23"/>
      <c r="HQQ23"/>
      <c r="HQR23"/>
      <c r="HQS23"/>
      <c r="HQT23"/>
      <c r="HQU23"/>
      <c r="HQV23"/>
      <c r="HQW23"/>
      <c r="HQX23"/>
      <c r="HQY23"/>
      <c r="HQZ23"/>
      <c r="HRA23"/>
      <c r="HRB23"/>
      <c r="HRC23"/>
      <c r="HRD23"/>
      <c r="HRE23"/>
      <c r="HRF23"/>
      <c r="HRG23"/>
      <c r="HRH23"/>
      <c r="HRI23"/>
      <c r="HRJ23"/>
      <c r="HRK23"/>
      <c r="HRL23"/>
      <c r="HRM23"/>
      <c r="HRN23"/>
      <c r="HRO23"/>
      <c r="HRP23"/>
      <c r="HRQ23"/>
      <c r="HRR23"/>
      <c r="HRS23"/>
      <c r="HRT23"/>
      <c r="HRU23"/>
      <c r="HRV23"/>
      <c r="HRW23"/>
      <c r="HRX23"/>
      <c r="HRY23"/>
      <c r="HRZ23"/>
      <c r="HSA23"/>
      <c r="HSB23"/>
      <c r="HSC23"/>
      <c r="HSD23"/>
      <c r="HSE23"/>
      <c r="HSF23"/>
      <c r="HSG23"/>
      <c r="HSH23"/>
      <c r="HSI23"/>
      <c r="HSJ23"/>
      <c r="HSK23"/>
      <c r="HSL23"/>
      <c r="HSM23"/>
      <c r="HSN23"/>
      <c r="HSO23"/>
      <c r="HSP23"/>
      <c r="HSQ23"/>
      <c r="HSR23"/>
      <c r="HSS23"/>
      <c r="HST23"/>
      <c r="HSU23"/>
      <c r="HSV23"/>
      <c r="HSW23"/>
      <c r="HSX23"/>
      <c r="HSY23"/>
      <c r="HSZ23"/>
      <c r="HTA23"/>
      <c r="HTB23"/>
      <c r="HTC23"/>
      <c r="HTD23"/>
      <c r="HTE23"/>
      <c r="HTF23"/>
      <c r="HTG23"/>
      <c r="HTH23"/>
      <c r="HTI23"/>
      <c r="HTJ23"/>
      <c r="HTK23"/>
      <c r="HTL23"/>
      <c r="HTM23"/>
      <c r="HTN23"/>
      <c r="HTO23"/>
      <c r="HTP23"/>
      <c r="HTQ23"/>
      <c r="HTR23"/>
      <c r="HTS23"/>
      <c r="HTT23"/>
      <c r="HTU23"/>
      <c r="HTV23"/>
      <c r="HTW23"/>
      <c r="HTX23"/>
      <c r="HTY23"/>
      <c r="HTZ23"/>
      <c r="HUA23"/>
      <c r="HUB23"/>
      <c r="HUC23"/>
      <c r="HUD23"/>
      <c r="HUE23"/>
      <c r="HUF23"/>
      <c r="HUG23"/>
      <c r="HUH23"/>
      <c r="HUI23"/>
      <c r="HUJ23"/>
      <c r="HUK23"/>
      <c r="HUL23"/>
      <c r="HUM23"/>
      <c r="HUN23"/>
      <c r="HUO23"/>
      <c r="HUP23"/>
      <c r="HUQ23"/>
      <c r="HUR23"/>
      <c r="HUS23"/>
      <c r="HUT23"/>
      <c r="HUU23"/>
      <c r="HUV23"/>
      <c r="HUW23"/>
      <c r="HUX23"/>
      <c r="HUY23"/>
      <c r="HUZ23"/>
      <c r="HVA23"/>
      <c r="HVB23"/>
      <c r="HVC23"/>
      <c r="HVD23"/>
      <c r="HVE23"/>
      <c r="HVF23"/>
      <c r="HVG23"/>
      <c r="HVH23"/>
      <c r="HVI23"/>
      <c r="HVJ23"/>
      <c r="HVK23"/>
      <c r="HVL23"/>
      <c r="HVM23"/>
      <c r="HVN23"/>
      <c r="HVO23"/>
      <c r="HVP23"/>
      <c r="HVQ23"/>
      <c r="HVR23"/>
      <c r="HVS23"/>
      <c r="HVT23"/>
      <c r="HVU23"/>
      <c r="HVV23"/>
      <c r="HVW23"/>
      <c r="HVX23"/>
      <c r="HVY23"/>
      <c r="HVZ23"/>
      <c r="HWA23"/>
      <c r="HWB23"/>
      <c r="HWC23"/>
      <c r="HWD23"/>
      <c r="HWE23"/>
      <c r="HWF23"/>
      <c r="HWG23"/>
      <c r="HWH23"/>
      <c r="HWI23"/>
      <c r="HWJ23"/>
      <c r="HWK23"/>
      <c r="HWL23"/>
      <c r="HWM23"/>
      <c r="HWN23"/>
      <c r="HWO23"/>
      <c r="HWP23"/>
      <c r="HWQ23"/>
      <c r="HWR23"/>
      <c r="HWS23"/>
      <c r="HWT23"/>
      <c r="HWU23"/>
      <c r="HWV23"/>
      <c r="HWW23"/>
      <c r="HWX23"/>
      <c r="HWY23"/>
      <c r="HWZ23"/>
      <c r="HXA23"/>
      <c r="HXB23"/>
      <c r="HXC23"/>
      <c r="HXD23"/>
      <c r="HXE23"/>
      <c r="HXF23"/>
      <c r="HXG23"/>
      <c r="HXH23"/>
      <c r="HXI23"/>
      <c r="HXJ23"/>
      <c r="HXK23"/>
      <c r="HXL23"/>
      <c r="HXM23"/>
      <c r="HXN23"/>
      <c r="HXO23"/>
      <c r="HXP23"/>
      <c r="HXQ23"/>
      <c r="HXR23"/>
      <c r="HXS23"/>
      <c r="HXT23"/>
      <c r="HXU23"/>
      <c r="HXV23"/>
      <c r="HXW23"/>
      <c r="HXX23"/>
      <c r="HXY23"/>
      <c r="HXZ23"/>
      <c r="HYA23"/>
      <c r="HYB23"/>
      <c r="HYC23"/>
      <c r="HYD23"/>
      <c r="HYE23"/>
      <c r="HYF23"/>
      <c r="HYG23"/>
      <c r="HYH23"/>
      <c r="HYI23"/>
      <c r="HYJ23"/>
      <c r="HYK23"/>
      <c r="HYL23"/>
      <c r="HYM23"/>
      <c r="HYN23"/>
      <c r="HYO23"/>
      <c r="HYP23"/>
      <c r="HYQ23"/>
      <c r="HYR23"/>
      <c r="HYS23"/>
      <c r="HYT23"/>
      <c r="HYU23"/>
      <c r="HYV23"/>
      <c r="HYW23"/>
      <c r="HYX23"/>
      <c r="HYY23"/>
      <c r="HYZ23"/>
      <c r="HZA23"/>
      <c r="HZB23"/>
      <c r="HZC23"/>
      <c r="HZD23"/>
      <c r="HZE23"/>
      <c r="HZF23"/>
      <c r="HZG23"/>
      <c r="HZH23"/>
      <c r="HZI23"/>
      <c r="HZJ23"/>
      <c r="HZK23"/>
      <c r="HZL23"/>
      <c r="HZM23"/>
      <c r="HZN23"/>
      <c r="HZO23"/>
      <c r="HZP23"/>
      <c r="HZQ23"/>
      <c r="HZR23"/>
      <c r="HZS23"/>
      <c r="HZT23"/>
      <c r="HZU23"/>
      <c r="HZV23"/>
      <c r="HZW23"/>
      <c r="HZX23"/>
      <c r="HZY23"/>
      <c r="HZZ23"/>
      <c r="IAA23"/>
      <c r="IAB23"/>
      <c r="IAC23"/>
      <c r="IAD23"/>
      <c r="IAE23"/>
      <c r="IAF23"/>
      <c r="IAG23"/>
      <c r="IAH23"/>
      <c r="IAI23"/>
      <c r="IAJ23"/>
      <c r="IAK23"/>
      <c r="IAL23"/>
      <c r="IAM23"/>
      <c r="IAN23"/>
      <c r="IAO23"/>
      <c r="IAP23"/>
      <c r="IAQ23"/>
      <c r="IAR23"/>
      <c r="IAS23"/>
      <c r="IAT23"/>
      <c r="IAU23"/>
      <c r="IAV23"/>
      <c r="IAW23"/>
      <c r="IAX23"/>
      <c r="IAY23"/>
      <c r="IAZ23"/>
      <c r="IBA23"/>
      <c r="IBB23"/>
      <c r="IBC23"/>
      <c r="IBD23"/>
      <c r="IBE23"/>
      <c r="IBF23"/>
      <c r="IBG23"/>
      <c r="IBH23"/>
      <c r="IBI23"/>
      <c r="IBJ23"/>
      <c r="IBK23"/>
      <c r="IBL23"/>
      <c r="IBM23"/>
      <c r="IBN23"/>
      <c r="IBO23"/>
      <c r="IBP23"/>
      <c r="IBQ23"/>
      <c r="IBR23"/>
      <c r="IBS23"/>
      <c r="IBT23"/>
      <c r="IBU23"/>
      <c r="IBV23"/>
      <c r="IBW23"/>
      <c r="IBX23"/>
      <c r="IBY23"/>
      <c r="IBZ23"/>
      <c r="ICA23"/>
      <c r="ICB23"/>
      <c r="ICC23"/>
      <c r="ICD23"/>
      <c r="ICE23"/>
      <c r="ICF23"/>
      <c r="ICG23"/>
      <c r="ICH23"/>
      <c r="ICI23"/>
      <c r="ICJ23"/>
      <c r="ICK23"/>
      <c r="ICL23"/>
      <c r="ICM23"/>
      <c r="ICN23"/>
      <c r="ICO23"/>
      <c r="ICP23"/>
      <c r="ICQ23"/>
      <c r="ICR23"/>
      <c r="ICS23"/>
      <c r="ICT23"/>
      <c r="ICU23"/>
      <c r="ICV23"/>
      <c r="ICW23"/>
      <c r="ICX23"/>
      <c r="ICY23"/>
      <c r="ICZ23"/>
      <c r="IDA23"/>
      <c r="IDB23"/>
      <c r="IDC23"/>
      <c r="IDD23"/>
      <c r="IDE23"/>
      <c r="IDF23"/>
      <c r="IDG23"/>
      <c r="IDH23"/>
      <c r="IDI23"/>
      <c r="IDJ23"/>
      <c r="IDK23"/>
      <c r="IDL23"/>
      <c r="IDM23"/>
      <c r="IDN23"/>
      <c r="IDO23"/>
      <c r="IDP23"/>
      <c r="IDQ23"/>
      <c r="IDR23"/>
      <c r="IDS23"/>
      <c r="IDT23"/>
      <c r="IDU23"/>
      <c r="IDV23"/>
      <c r="IDW23"/>
      <c r="IDX23"/>
      <c r="IDY23"/>
      <c r="IDZ23"/>
      <c r="IEA23"/>
      <c r="IEB23"/>
      <c r="IEC23"/>
      <c r="IED23"/>
      <c r="IEE23"/>
      <c r="IEF23"/>
      <c r="IEG23"/>
      <c r="IEH23"/>
      <c r="IEI23"/>
      <c r="IEJ23"/>
      <c r="IEK23"/>
      <c r="IEL23"/>
      <c r="IEM23"/>
      <c r="IEN23"/>
      <c r="IEO23"/>
      <c r="IEP23"/>
      <c r="IEQ23"/>
      <c r="IER23"/>
      <c r="IES23"/>
      <c r="IET23"/>
      <c r="IEU23"/>
      <c r="IEV23"/>
      <c r="IEW23"/>
      <c r="IEX23"/>
      <c r="IEY23"/>
      <c r="IEZ23"/>
      <c r="IFA23"/>
      <c r="IFB23"/>
      <c r="IFC23"/>
      <c r="IFD23"/>
      <c r="IFE23"/>
      <c r="IFF23"/>
      <c r="IFG23"/>
      <c r="IFH23"/>
      <c r="IFI23"/>
      <c r="IFJ23"/>
      <c r="IFK23"/>
      <c r="IFL23"/>
      <c r="IFM23"/>
      <c r="IFN23"/>
      <c r="IFO23"/>
      <c r="IFP23"/>
      <c r="IFQ23"/>
      <c r="IFR23"/>
      <c r="IFS23"/>
      <c r="IFT23"/>
      <c r="IFU23"/>
      <c r="IFV23"/>
      <c r="IFW23"/>
      <c r="IFX23"/>
      <c r="IFY23"/>
      <c r="IFZ23"/>
      <c r="IGA23"/>
      <c r="IGB23"/>
      <c r="IGC23"/>
      <c r="IGD23"/>
      <c r="IGE23"/>
      <c r="IGF23"/>
      <c r="IGG23"/>
      <c r="IGH23"/>
      <c r="IGI23"/>
      <c r="IGJ23"/>
      <c r="IGK23"/>
      <c r="IGL23"/>
      <c r="IGM23"/>
      <c r="IGN23"/>
      <c r="IGO23"/>
      <c r="IGP23"/>
      <c r="IGQ23"/>
      <c r="IGR23"/>
      <c r="IGS23"/>
      <c r="IGT23"/>
      <c r="IGU23"/>
      <c r="IGV23"/>
      <c r="IGW23"/>
      <c r="IGX23"/>
      <c r="IGY23"/>
      <c r="IGZ23"/>
      <c r="IHA23"/>
      <c r="IHB23"/>
      <c r="IHC23"/>
      <c r="IHD23"/>
      <c r="IHE23"/>
      <c r="IHF23"/>
      <c r="IHG23"/>
      <c r="IHH23"/>
      <c r="IHI23"/>
      <c r="IHJ23"/>
      <c r="IHK23"/>
      <c r="IHL23"/>
      <c r="IHM23"/>
      <c r="IHN23"/>
      <c r="IHO23"/>
      <c r="IHP23"/>
      <c r="IHQ23"/>
      <c r="IHR23"/>
      <c r="IHS23"/>
      <c r="IHT23"/>
      <c r="IHU23"/>
      <c r="IHV23"/>
      <c r="IHW23"/>
      <c r="IHX23"/>
      <c r="IHY23"/>
      <c r="IHZ23"/>
      <c r="IIA23"/>
      <c r="IIB23"/>
      <c r="IIC23"/>
      <c r="IID23"/>
      <c r="IIE23"/>
      <c r="IIF23"/>
      <c r="IIG23"/>
      <c r="IIH23"/>
      <c r="III23"/>
      <c r="IIJ23"/>
      <c r="IIK23"/>
      <c r="IIL23"/>
      <c r="IIM23"/>
      <c r="IIN23"/>
      <c r="IIO23"/>
      <c r="IIP23"/>
      <c r="IIQ23"/>
      <c r="IIR23"/>
      <c r="IIS23"/>
      <c r="IIT23"/>
      <c r="IIU23"/>
      <c r="IIV23"/>
      <c r="IIW23"/>
      <c r="IIX23"/>
      <c r="IIY23"/>
      <c r="IIZ23"/>
      <c r="IJA23"/>
      <c r="IJB23"/>
      <c r="IJC23"/>
      <c r="IJD23"/>
      <c r="IJE23"/>
      <c r="IJF23"/>
      <c r="IJG23"/>
      <c r="IJH23"/>
      <c r="IJI23"/>
      <c r="IJJ23"/>
      <c r="IJK23"/>
      <c r="IJL23"/>
      <c r="IJM23"/>
      <c r="IJN23"/>
      <c r="IJO23"/>
      <c r="IJP23"/>
      <c r="IJQ23"/>
      <c r="IJR23"/>
      <c r="IJS23"/>
      <c r="IJT23"/>
      <c r="IJU23"/>
      <c r="IJV23"/>
      <c r="IJW23"/>
      <c r="IJX23"/>
      <c r="IJY23"/>
      <c r="IJZ23"/>
      <c r="IKA23"/>
      <c r="IKB23"/>
      <c r="IKC23"/>
      <c r="IKD23"/>
      <c r="IKE23"/>
      <c r="IKF23"/>
      <c r="IKG23"/>
      <c r="IKH23"/>
      <c r="IKI23"/>
      <c r="IKJ23"/>
      <c r="IKK23"/>
      <c r="IKL23"/>
      <c r="IKM23"/>
      <c r="IKN23"/>
      <c r="IKO23"/>
      <c r="IKP23"/>
      <c r="IKQ23"/>
      <c r="IKR23"/>
      <c r="IKS23"/>
      <c r="IKT23"/>
      <c r="IKU23"/>
      <c r="IKV23"/>
      <c r="IKW23"/>
      <c r="IKX23"/>
      <c r="IKY23"/>
      <c r="IKZ23"/>
      <c r="ILA23"/>
      <c r="ILB23"/>
      <c r="ILC23"/>
      <c r="ILD23"/>
      <c r="ILE23"/>
      <c r="ILF23"/>
      <c r="ILG23"/>
      <c r="ILH23"/>
      <c r="ILI23"/>
      <c r="ILJ23"/>
      <c r="ILK23"/>
      <c r="ILL23"/>
      <c r="ILM23"/>
      <c r="ILN23"/>
      <c r="ILO23"/>
      <c r="ILP23"/>
      <c r="ILQ23"/>
      <c r="ILR23"/>
      <c r="ILS23"/>
      <c r="ILT23"/>
      <c r="ILU23"/>
      <c r="ILV23"/>
      <c r="ILW23"/>
      <c r="ILX23"/>
      <c r="ILY23"/>
      <c r="ILZ23"/>
      <c r="IMA23"/>
      <c r="IMB23"/>
      <c r="IMC23"/>
      <c r="IMD23"/>
      <c r="IME23"/>
      <c r="IMF23"/>
      <c r="IMG23"/>
      <c r="IMH23"/>
      <c r="IMI23"/>
      <c r="IMJ23"/>
      <c r="IMK23"/>
      <c r="IML23"/>
      <c r="IMM23"/>
      <c r="IMN23"/>
      <c r="IMO23"/>
      <c r="IMP23"/>
      <c r="IMQ23"/>
      <c r="IMR23"/>
      <c r="IMS23"/>
      <c r="IMT23"/>
      <c r="IMU23"/>
      <c r="IMV23"/>
      <c r="IMW23"/>
      <c r="IMX23"/>
      <c r="IMY23"/>
      <c r="IMZ23"/>
      <c r="INA23"/>
      <c r="INB23"/>
      <c r="INC23"/>
      <c r="IND23"/>
      <c r="INE23"/>
      <c r="INF23"/>
      <c r="ING23"/>
      <c r="INH23"/>
      <c r="INI23"/>
      <c r="INJ23"/>
      <c r="INK23"/>
      <c r="INL23"/>
      <c r="INM23"/>
      <c r="INN23"/>
      <c r="INO23"/>
      <c r="INP23"/>
      <c r="INQ23"/>
      <c r="INR23"/>
      <c r="INS23"/>
      <c r="INT23"/>
      <c r="INU23"/>
      <c r="INV23"/>
      <c r="INW23"/>
      <c r="INX23"/>
      <c r="INY23"/>
      <c r="INZ23"/>
      <c r="IOA23"/>
      <c r="IOB23"/>
      <c r="IOC23"/>
      <c r="IOD23"/>
      <c r="IOE23"/>
      <c r="IOF23"/>
      <c r="IOG23"/>
      <c r="IOH23"/>
      <c r="IOI23"/>
      <c r="IOJ23"/>
      <c r="IOK23"/>
      <c r="IOL23"/>
      <c r="IOM23"/>
      <c r="ION23"/>
      <c r="IOO23"/>
      <c r="IOP23"/>
      <c r="IOQ23"/>
      <c r="IOR23"/>
      <c r="IOS23"/>
      <c r="IOT23"/>
      <c r="IOU23"/>
      <c r="IOV23"/>
      <c r="IOW23"/>
      <c r="IOX23"/>
      <c r="IOY23"/>
      <c r="IOZ23"/>
      <c r="IPA23"/>
      <c r="IPB23"/>
      <c r="IPC23"/>
      <c r="IPD23"/>
      <c r="IPE23"/>
      <c r="IPF23"/>
      <c r="IPG23"/>
      <c r="IPH23"/>
      <c r="IPI23"/>
      <c r="IPJ23"/>
      <c r="IPK23"/>
      <c r="IPL23"/>
      <c r="IPM23"/>
      <c r="IPN23"/>
      <c r="IPO23"/>
      <c r="IPP23"/>
      <c r="IPQ23"/>
      <c r="IPR23"/>
      <c r="IPS23"/>
      <c r="IPT23"/>
      <c r="IPU23"/>
      <c r="IPV23"/>
      <c r="IPW23"/>
      <c r="IPX23"/>
      <c r="IPY23"/>
      <c r="IPZ23"/>
      <c r="IQA23"/>
      <c r="IQB23"/>
      <c r="IQC23"/>
      <c r="IQD23"/>
      <c r="IQE23"/>
      <c r="IQF23"/>
      <c r="IQG23"/>
      <c r="IQH23"/>
      <c r="IQI23"/>
      <c r="IQJ23"/>
      <c r="IQK23"/>
      <c r="IQL23"/>
      <c r="IQM23"/>
      <c r="IQN23"/>
      <c r="IQO23"/>
      <c r="IQP23"/>
      <c r="IQQ23"/>
      <c r="IQR23"/>
      <c r="IQS23"/>
      <c r="IQT23"/>
      <c r="IQU23"/>
      <c r="IQV23"/>
      <c r="IQW23"/>
      <c r="IQX23"/>
      <c r="IQY23"/>
      <c r="IQZ23"/>
      <c r="IRA23"/>
      <c r="IRB23"/>
      <c r="IRC23"/>
      <c r="IRD23"/>
      <c r="IRE23"/>
      <c r="IRF23"/>
      <c r="IRG23"/>
      <c r="IRH23"/>
      <c r="IRI23"/>
      <c r="IRJ23"/>
      <c r="IRK23"/>
      <c r="IRL23"/>
      <c r="IRM23"/>
      <c r="IRN23"/>
      <c r="IRO23"/>
      <c r="IRP23"/>
      <c r="IRQ23"/>
      <c r="IRR23"/>
      <c r="IRS23"/>
      <c r="IRT23"/>
      <c r="IRU23"/>
      <c r="IRV23"/>
      <c r="IRW23"/>
      <c r="IRX23"/>
      <c r="IRY23"/>
      <c r="IRZ23"/>
      <c r="ISA23"/>
      <c r="ISB23"/>
      <c r="ISC23"/>
      <c r="ISD23"/>
      <c r="ISE23"/>
      <c r="ISF23"/>
      <c r="ISG23"/>
      <c r="ISH23"/>
      <c r="ISI23"/>
      <c r="ISJ23"/>
      <c r="ISK23"/>
      <c r="ISL23"/>
      <c r="ISM23"/>
      <c r="ISN23"/>
      <c r="ISO23"/>
      <c r="ISP23"/>
      <c r="ISQ23"/>
      <c r="ISR23"/>
      <c r="ISS23"/>
      <c r="IST23"/>
      <c r="ISU23"/>
      <c r="ISV23"/>
      <c r="ISW23"/>
      <c r="ISX23"/>
      <c r="ISY23"/>
      <c r="ISZ23"/>
      <c r="ITA23"/>
      <c r="ITB23"/>
      <c r="ITC23"/>
      <c r="ITD23"/>
      <c r="ITE23"/>
      <c r="ITF23"/>
      <c r="ITG23"/>
      <c r="ITH23"/>
      <c r="ITI23"/>
      <c r="ITJ23"/>
      <c r="ITK23"/>
      <c r="ITL23"/>
      <c r="ITM23"/>
      <c r="ITN23"/>
      <c r="ITO23"/>
      <c r="ITP23"/>
      <c r="ITQ23"/>
      <c r="ITR23"/>
      <c r="ITS23"/>
      <c r="ITT23"/>
      <c r="ITU23"/>
      <c r="ITV23"/>
      <c r="ITW23"/>
      <c r="ITX23"/>
      <c r="ITY23"/>
      <c r="ITZ23"/>
      <c r="IUA23"/>
      <c r="IUB23"/>
      <c r="IUC23"/>
      <c r="IUD23"/>
      <c r="IUE23"/>
      <c r="IUF23"/>
      <c r="IUG23"/>
      <c r="IUH23"/>
      <c r="IUI23"/>
      <c r="IUJ23"/>
      <c r="IUK23"/>
      <c r="IUL23"/>
      <c r="IUM23"/>
      <c r="IUN23"/>
      <c r="IUO23"/>
      <c r="IUP23"/>
      <c r="IUQ23"/>
      <c r="IUR23"/>
      <c r="IUS23"/>
      <c r="IUT23"/>
      <c r="IUU23"/>
      <c r="IUV23"/>
      <c r="IUW23"/>
      <c r="IUX23"/>
      <c r="IUY23"/>
      <c r="IUZ23"/>
      <c r="IVA23"/>
      <c r="IVB23"/>
      <c r="IVC23"/>
      <c r="IVD23"/>
      <c r="IVE23"/>
      <c r="IVF23"/>
      <c r="IVG23"/>
      <c r="IVH23"/>
      <c r="IVI23"/>
      <c r="IVJ23"/>
      <c r="IVK23"/>
      <c r="IVL23"/>
      <c r="IVM23"/>
      <c r="IVN23"/>
      <c r="IVO23"/>
      <c r="IVP23"/>
      <c r="IVQ23"/>
      <c r="IVR23"/>
      <c r="IVS23"/>
      <c r="IVT23"/>
      <c r="IVU23"/>
      <c r="IVV23"/>
      <c r="IVW23"/>
      <c r="IVX23"/>
      <c r="IVY23"/>
      <c r="IVZ23"/>
      <c r="IWA23"/>
      <c r="IWB23"/>
      <c r="IWC23"/>
      <c r="IWD23"/>
      <c r="IWE23"/>
      <c r="IWF23"/>
      <c r="IWG23"/>
      <c r="IWH23"/>
      <c r="IWI23"/>
      <c r="IWJ23"/>
      <c r="IWK23"/>
      <c r="IWL23"/>
      <c r="IWM23"/>
      <c r="IWN23"/>
      <c r="IWO23"/>
      <c r="IWP23"/>
      <c r="IWQ23"/>
      <c r="IWR23"/>
      <c r="IWS23"/>
      <c r="IWT23"/>
      <c r="IWU23"/>
      <c r="IWV23"/>
      <c r="IWW23"/>
      <c r="IWX23"/>
      <c r="IWY23"/>
      <c r="IWZ23"/>
      <c r="IXA23"/>
      <c r="IXB23"/>
      <c r="IXC23"/>
      <c r="IXD23"/>
      <c r="IXE23"/>
      <c r="IXF23"/>
      <c r="IXG23"/>
      <c r="IXH23"/>
      <c r="IXI23"/>
      <c r="IXJ23"/>
      <c r="IXK23"/>
      <c r="IXL23"/>
      <c r="IXM23"/>
      <c r="IXN23"/>
      <c r="IXO23"/>
      <c r="IXP23"/>
      <c r="IXQ23"/>
      <c r="IXR23"/>
      <c r="IXS23"/>
      <c r="IXT23"/>
      <c r="IXU23"/>
      <c r="IXV23"/>
      <c r="IXW23"/>
      <c r="IXX23"/>
      <c r="IXY23"/>
      <c r="IXZ23"/>
      <c r="IYA23"/>
      <c r="IYB23"/>
      <c r="IYC23"/>
      <c r="IYD23"/>
      <c r="IYE23"/>
      <c r="IYF23"/>
      <c r="IYG23"/>
      <c r="IYH23"/>
      <c r="IYI23"/>
      <c r="IYJ23"/>
      <c r="IYK23"/>
      <c r="IYL23"/>
      <c r="IYM23"/>
      <c r="IYN23"/>
      <c r="IYO23"/>
      <c r="IYP23"/>
      <c r="IYQ23"/>
      <c r="IYR23"/>
      <c r="IYS23"/>
      <c r="IYT23"/>
      <c r="IYU23"/>
      <c r="IYV23"/>
      <c r="IYW23"/>
      <c r="IYX23"/>
      <c r="IYY23"/>
      <c r="IYZ23"/>
      <c r="IZA23"/>
      <c r="IZB23"/>
      <c r="IZC23"/>
      <c r="IZD23"/>
      <c r="IZE23"/>
      <c r="IZF23"/>
      <c r="IZG23"/>
      <c r="IZH23"/>
      <c r="IZI23"/>
      <c r="IZJ23"/>
      <c r="IZK23"/>
      <c r="IZL23"/>
      <c r="IZM23"/>
      <c r="IZN23"/>
      <c r="IZO23"/>
      <c r="IZP23"/>
      <c r="IZQ23"/>
      <c r="IZR23"/>
      <c r="IZS23"/>
      <c r="IZT23"/>
      <c r="IZU23"/>
      <c r="IZV23"/>
      <c r="IZW23"/>
      <c r="IZX23"/>
      <c r="IZY23"/>
      <c r="IZZ23"/>
      <c r="JAA23"/>
      <c r="JAB23"/>
      <c r="JAC23"/>
      <c r="JAD23"/>
      <c r="JAE23"/>
      <c r="JAF23"/>
      <c r="JAG23"/>
      <c r="JAH23"/>
      <c r="JAI23"/>
      <c r="JAJ23"/>
      <c r="JAK23"/>
      <c r="JAL23"/>
      <c r="JAM23"/>
      <c r="JAN23"/>
      <c r="JAO23"/>
      <c r="JAP23"/>
      <c r="JAQ23"/>
      <c r="JAR23"/>
      <c r="JAS23"/>
      <c r="JAT23"/>
      <c r="JAU23"/>
      <c r="JAV23"/>
      <c r="JAW23"/>
      <c r="JAX23"/>
      <c r="JAY23"/>
      <c r="JAZ23"/>
      <c r="JBA23"/>
      <c r="JBB23"/>
      <c r="JBC23"/>
      <c r="JBD23"/>
      <c r="JBE23"/>
      <c r="JBF23"/>
      <c r="JBG23"/>
      <c r="JBH23"/>
      <c r="JBI23"/>
      <c r="JBJ23"/>
      <c r="JBK23"/>
      <c r="JBL23"/>
      <c r="JBM23"/>
      <c r="JBN23"/>
      <c r="JBO23"/>
      <c r="JBP23"/>
      <c r="JBQ23"/>
      <c r="JBR23"/>
      <c r="JBS23"/>
      <c r="JBT23"/>
      <c r="JBU23"/>
      <c r="JBV23"/>
      <c r="JBW23"/>
      <c r="JBX23"/>
      <c r="JBY23"/>
      <c r="JBZ23"/>
      <c r="JCA23"/>
      <c r="JCB23"/>
      <c r="JCC23"/>
      <c r="JCD23"/>
      <c r="JCE23"/>
      <c r="JCF23"/>
      <c r="JCG23"/>
      <c r="JCH23"/>
      <c r="JCI23"/>
      <c r="JCJ23"/>
      <c r="JCK23"/>
      <c r="JCL23"/>
      <c r="JCM23"/>
      <c r="JCN23"/>
      <c r="JCO23"/>
      <c r="JCP23"/>
      <c r="JCQ23"/>
      <c r="JCR23"/>
      <c r="JCS23"/>
      <c r="JCT23"/>
      <c r="JCU23"/>
      <c r="JCV23"/>
      <c r="JCW23"/>
      <c r="JCX23"/>
      <c r="JCY23"/>
      <c r="JCZ23"/>
      <c r="JDA23"/>
      <c r="JDB23"/>
      <c r="JDC23"/>
      <c r="JDD23"/>
      <c r="JDE23"/>
      <c r="JDF23"/>
      <c r="JDG23"/>
      <c r="JDH23"/>
      <c r="JDI23"/>
      <c r="JDJ23"/>
      <c r="JDK23"/>
      <c r="JDL23"/>
      <c r="JDM23"/>
      <c r="JDN23"/>
      <c r="JDO23"/>
      <c r="JDP23"/>
      <c r="JDQ23"/>
      <c r="JDR23"/>
      <c r="JDS23"/>
      <c r="JDT23"/>
      <c r="JDU23"/>
      <c r="JDV23"/>
      <c r="JDW23"/>
      <c r="JDX23"/>
      <c r="JDY23"/>
      <c r="JDZ23"/>
      <c r="JEA23"/>
      <c r="JEB23"/>
      <c r="JEC23"/>
      <c r="JED23"/>
      <c r="JEE23"/>
      <c r="JEF23"/>
      <c r="JEG23"/>
      <c r="JEH23"/>
      <c r="JEI23"/>
      <c r="JEJ23"/>
      <c r="JEK23"/>
      <c r="JEL23"/>
      <c r="JEM23"/>
      <c r="JEN23"/>
      <c r="JEO23"/>
      <c r="JEP23"/>
      <c r="JEQ23"/>
      <c r="JER23"/>
      <c r="JES23"/>
      <c r="JET23"/>
      <c r="JEU23"/>
      <c r="JEV23"/>
      <c r="JEW23"/>
      <c r="JEX23"/>
      <c r="JEY23"/>
      <c r="JEZ23"/>
      <c r="JFA23"/>
      <c r="JFB23"/>
      <c r="JFC23"/>
      <c r="JFD23"/>
      <c r="JFE23"/>
      <c r="JFF23"/>
      <c r="JFG23"/>
      <c r="JFH23"/>
      <c r="JFI23"/>
      <c r="JFJ23"/>
      <c r="JFK23"/>
      <c r="JFL23"/>
      <c r="JFM23"/>
      <c r="JFN23"/>
      <c r="JFO23"/>
      <c r="JFP23"/>
      <c r="JFQ23"/>
      <c r="JFR23"/>
      <c r="JFS23"/>
      <c r="JFT23"/>
      <c r="JFU23"/>
      <c r="JFV23"/>
      <c r="JFW23"/>
      <c r="JFX23"/>
      <c r="JFY23"/>
      <c r="JFZ23"/>
      <c r="JGA23"/>
      <c r="JGB23"/>
      <c r="JGC23"/>
      <c r="JGD23"/>
      <c r="JGE23"/>
      <c r="JGF23"/>
      <c r="JGG23"/>
      <c r="JGH23"/>
      <c r="JGI23"/>
      <c r="JGJ23"/>
      <c r="JGK23"/>
      <c r="JGL23"/>
      <c r="JGM23"/>
      <c r="JGN23"/>
      <c r="JGO23"/>
      <c r="JGP23"/>
      <c r="JGQ23"/>
      <c r="JGR23"/>
      <c r="JGS23"/>
      <c r="JGT23"/>
      <c r="JGU23"/>
      <c r="JGV23"/>
      <c r="JGW23"/>
      <c r="JGX23"/>
      <c r="JGY23"/>
      <c r="JGZ23"/>
      <c r="JHA23"/>
      <c r="JHB23"/>
      <c r="JHC23"/>
      <c r="JHD23"/>
      <c r="JHE23"/>
      <c r="JHF23"/>
      <c r="JHG23"/>
      <c r="JHH23"/>
      <c r="JHI23"/>
      <c r="JHJ23"/>
      <c r="JHK23"/>
      <c r="JHL23"/>
      <c r="JHM23"/>
      <c r="JHN23"/>
      <c r="JHO23"/>
      <c r="JHP23"/>
      <c r="JHQ23"/>
      <c r="JHR23"/>
      <c r="JHS23"/>
      <c r="JHT23"/>
      <c r="JHU23"/>
      <c r="JHV23"/>
      <c r="JHW23"/>
      <c r="JHX23"/>
      <c r="JHY23"/>
      <c r="JHZ23"/>
      <c r="JIA23"/>
      <c r="JIB23"/>
      <c r="JIC23"/>
      <c r="JID23"/>
      <c r="JIE23"/>
      <c r="JIF23"/>
      <c r="JIG23"/>
      <c r="JIH23"/>
      <c r="JII23"/>
      <c r="JIJ23"/>
      <c r="JIK23"/>
      <c r="JIL23"/>
      <c r="JIM23"/>
      <c r="JIN23"/>
      <c r="JIO23"/>
      <c r="JIP23"/>
      <c r="JIQ23"/>
      <c r="JIR23"/>
      <c r="JIS23"/>
      <c r="JIT23"/>
      <c r="JIU23"/>
      <c r="JIV23"/>
      <c r="JIW23"/>
      <c r="JIX23"/>
      <c r="JIY23"/>
      <c r="JIZ23"/>
      <c r="JJA23"/>
      <c r="JJB23"/>
      <c r="JJC23"/>
      <c r="JJD23"/>
      <c r="JJE23"/>
      <c r="JJF23"/>
      <c r="JJG23"/>
      <c r="JJH23"/>
      <c r="JJI23"/>
      <c r="JJJ23"/>
      <c r="JJK23"/>
      <c r="JJL23"/>
      <c r="JJM23"/>
      <c r="JJN23"/>
      <c r="JJO23"/>
      <c r="JJP23"/>
      <c r="JJQ23"/>
      <c r="JJR23"/>
      <c r="JJS23"/>
      <c r="JJT23"/>
      <c r="JJU23"/>
      <c r="JJV23"/>
      <c r="JJW23"/>
      <c r="JJX23"/>
      <c r="JJY23"/>
      <c r="JJZ23"/>
      <c r="JKA23"/>
      <c r="JKB23"/>
      <c r="JKC23"/>
      <c r="JKD23"/>
      <c r="JKE23"/>
      <c r="JKF23"/>
      <c r="JKG23"/>
      <c r="JKH23"/>
      <c r="JKI23"/>
      <c r="JKJ23"/>
      <c r="JKK23"/>
      <c r="JKL23"/>
      <c r="JKM23"/>
      <c r="JKN23"/>
      <c r="JKO23"/>
      <c r="JKP23"/>
      <c r="JKQ23"/>
      <c r="JKR23"/>
      <c r="JKS23"/>
      <c r="JKT23"/>
      <c r="JKU23"/>
      <c r="JKV23"/>
      <c r="JKW23"/>
      <c r="JKX23"/>
      <c r="JKY23"/>
      <c r="JKZ23"/>
      <c r="JLA23"/>
      <c r="JLB23"/>
      <c r="JLC23"/>
      <c r="JLD23"/>
      <c r="JLE23"/>
      <c r="JLF23"/>
      <c r="JLG23"/>
      <c r="JLH23"/>
      <c r="JLI23"/>
      <c r="JLJ23"/>
      <c r="JLK23"/>
      <c r="JLL23"/>
      <c r="JLM23"/>
      <c r="JLN23"/>
      <c r="JLO23"/>
      <c r="JLP23"/>
      <c r="JLQ23"/>
      <c r="JLR23"/>
      <c r="JLS23"/>
      <c r="JLT23"/>
      <c r="JLU23"/>
      <c r="JLV23"/>
      <c r="JLW23"/>
      <c r="JLX23"/>
      <c r="JLY23"/>
      <c r="JLZ23"/>
      <c r="JMA23"/>
      <c r="JMB23"/>
      <c r="JMC23"/>
      <c r="JMD23"/>
      <c r="JME23"/>
      <c r="JMF23"/>
      <c r="JMG23"/>
      <c r="JMH23"/>
      <c r="JMI23"/>
      <c r="JMJ23"/>
      <c r="JMK23"/>
      <c r="JML23"/>
      <c r="JMM23"/>
      <c r="JMN23"/>
      <c r="JMO23"/>
      <c r="JMP23"/>
      <c r="JMQ23"/>
      <c r="JMR23"/>
      <c r="JMS23"/>
      <c r="JMT23"/>
      <c r="JMU23"/>
      <c r="JMV23"/>
      <c r="JMW23"/>
      <c r="JMX23"/>
      <c r="JMY23"/>
      <c r="JMZ23"/>
      <c r="JNA23"/>
      <c r="JNB23"/>
      <c r="JNC23"/>
      <c r="JND23"/>
      <c r="JNE23"/>
      <c r="JNF23"/>
      <c r="JNG23"/>
      <c r="JNH23"/>
      <c r="JNI23"/>
      <c r="JNJ23"/>
      <c r="JNK23"/>
      <c r="JNL23"/>
      <c r="JNM23"/>
      <c r="JNN23"/>
      <c r="JNO23"/>
      <c r="JNP23"/>
      <c r="JNQ23"/>
      <c r="JNR23"/>
      <c r="JNS23"/>
      <c r="JNT23"/>
      <c r="JNU23"/>
      <c r="JNV23"/>
      <c r="JNW23"/>
      <c r="JNX23"/>
      <c r="JNY23"/>
      <c r="JNZ23"/>
      <c r="JOA23"/>
      <c r="JOB23"/>
      <c r="JOC23"/>
      <c r="JOD23"/>
      <c r="JOE23"/>
      <c r="JOF23"/>
      <c r="JOG23"/>
      <c r="JOH23"/>
      <c r="JOI23"/>
      <c r="JOJ23"/>
      <c r="JOK23"/>
      <c r="JOL23"/>
      <c r="JOM23"/>
      <c r="JON23"/>
      <c r="JOO23"/>
      <c r="JOP23"/>
      <c r="JOQ23"/>
      <c r="JOR23"/>
      <c r="JOS23"/>
      <c r="JOT23"/>
      <c r="JOU23"/>
      <c r="JOV23"/>
      <c r="JOW23"/>
      <c r="JOX23"/>
      <c r="JOY23"/>
      <c r="JOZ23"/>
      <c r="JPA23"/>
      <c r="JPB23"/>
      <c r="JPC23"/>
      <c r="JPD23"/>
      <c r="JPE23"/>
      <c r="JPF23"/>
      <c r="JPG23"/>
      <c r="JPH23"/>
      <c r="JPI23"/>
      <c r="JPJ23"/>
      <c r="JPK23"/>
      <c r="JPL23"/>
      <c r="JPM23"/>
      <c r="JPN23"/>
      <c r="JPO23"/>
      <c r="JPP23"/>
      <c r="JPQ23"/>
      <c r="JPR23"/>
      <c r="JPS23"/>
      <c r="JPT23"/>
      <c r="JPU23"/>
      <c r="JPV23"/>
      <c r="JPW23"/>
      <c r="JPX23"/>
      <c r="JPY23"/>
      <c r="JPZ23"/>
      <c r="JQA23"/>
      <c r="JQB23"/>
      <c r="JQC23"/>
      <c r="JQD23"/>
      <c r="JQE23"/>
      <c r="JQF23"/>
      <c r="JQG23"/>
      <c r="JQH23"/>
      <c r="JQI23"/>
      <c r="JQJ23"/>
      <c r="JQK23"/>
      <c r="JQL23"/>
      <c r="JQM23"/>
      <c r="JQN23"/>
      <c r="JQO23"/>
      <c r="JQP23"/>
      <c r="JQQ23"/>
      <c r="JQR23"/>
      <c r="JQS23"/>
      <c r="JQT23"/>
      <c r="JQU23"/>
      <c r="JQV23"/>
      <c r="JQW23"/>
      <c r="JQX23"/>
      <c r="JQY23"/>
      <c r="JQZ23"/>
      <c r="JRA23"/>
      <c r="JRB23"/>
      <c r="JRC23"/>
      <c r="JRD23"/>
      <c r="JRE23"/>
      <c r="JRF23"/>
      <c r="JRG23"/>
      <c r="JRH23"/>
      <c r="JRI23"/>
      <c r="JRJ23"/>
      <c r="JRK23"/>
      <c r="JRL23"/>
      <c r="JRM23"/>
      <c r="JRN23"/>
      <c r="JRO23"/>
      <c r="JRP23"/>
      <c r="JRQ23"/>
      <c r="JRR23"/>
      <c r="JRS23"/>
      <c r="JRT23"/>
      <c r="JRU23"/>
      <c r="JRV23"/>
      <c r="JRW23"/>
      <c r="JRX23"/>
      <c r="JRY23"/>
      <c r="JRZ23"/>
      <c r="JSA23"/>
      <c r="JSB23"/>
      <c r="JSC23"/>
      <c r="JSD23"/>
      <c r="JSE23"/>
      <c r="JSF23"/>
      <c r="JSG23"/>
      <c r="JSH23"/>
      <c r="JSI23"/>
      <c r="JSJ23"/>
      <c r="JSK23"/>
      <c r="JSL23"/>
      <c r="JSM23"/>
      <c r="JSN23"/>
      <c r="JSO23"/>
      <c r="JSP23"/>
      <c r="JSQ23"/>
      <c r="JSR23"/>
      <c r="JSS23"/>
      <c r="JST23"/>
      <c r="JSU23"/>
      <c r="JSV23"/>
      <c r="JSW23"/>
      <c r="JSX23"/>
      <c r="JSY23"/>
      <c r="JSZ23"/>
      <c r="JTA23"/>
      <c r="JTB23"/>
      <c r="JTC23"/>
      <c r="JTD23"/>
      <c r="JTE23"/>
      <c r="JTF23"/>
      <c r="JTG23"/>
      <c r="JTH23"/>
      <c r="JTI23"/>
      <c r="JTJ23"/>
      <c r="JTK23"/>
      <c r="JTL23"/>
      <c r="JTM23"/>
      <c r="JTN23"/>
      <c r="JTO23"/>
      <c r="JTP23"/>
      <c r="JTQ23"/>
      <c r="JTR23"/>
      <c r="JTS23"/>
      <c r="JTT23"/>
      <c r="JTU23"/>
      <c r="JTV23"/>
      <c r="JTW23"/>
      <c r="JTX23"/>
      <c r="JTY23"/>
      <c r="JTZ23"/>
      <c r="JUA23"/>
      <c r="JUB23"/>
      <c r="JUC23"/>
      <c r="JUD23"/>
      <c r="JUE23"/>
      <c r="JUF23"/>
      <c r="JUG23"/>
      <c r="JUH23"/>
      <c r="JUI23"/>
      <c r="JUJ23"/>
      <c r="JUK23"/>
      <c r="JUL23"/>
      <c r="JUM23"/>
      <c r="JUN23"/>
      <c r="JUO23"/>
      <c r="JUP23"/>
      <c r="JUQ23"/>
      <c r="JUR23"/>
      <c r="JUS23"/>
      <c r="JUT23"/>
      <c r="JUU23"/>
      <c r="JUV23"/>
      <c r="JUW23"/>
      <c r="JUX23"/>
      <c r="JUY23"/>
      <c r="JUZ23"/>
      <c r="JVA23"/>
      <c r="JVB23"/>
      <c r="JVC23"/>
      <c r="JVD23"/>
      <c r="JVE23"/>
      <c r="JVF23"/>
      <c r="JVG23"/>
      <c r="JVH23"/>
      <c r="JVI23"/>
      <c r="JVJ23"/>
      <c r="JVK23"/>
      <c r="JVL23"/>
      <c r="JVM23"/>
      <c r="JVN23"/>
      <c r="JVO23"/>
      <c r="JVP23"/>
      <c r="JVQ23"/>
      <c r="JVR23"/>
      <c r="JVS23"/>
      <c r="JVT23"/>
      <c r="JVU23"/>
      <c r="JVV23"/>
      <c r="JVW23"/>
      <c r="JVX23"/>
      <c r="JVY23"/>
      <c r="JVZ23"/>
      <c r="JWA23"/>
      <c r="JWB23"/>
      <c r="JWC23"/>
      <c r="JWD23"/>
      <c r="JWE23"/>
      <c r="JWF23"/>
      <c r="JWG23"/>
      <c r="JWH23"/>
      <c r="JWI23"/>
      <c r="JWJ23"/>
      <c r="JWK23"/>
      <c r="JWL23"/>
      <c r="JWM23"/>
      <c r="JWN23"/>
      <c r="JWO23"/>
      <c r="JWP23"/>
      <c r="JWQ23"/>
      <c r="JWR23"/>
      <c r="JWS23"/>
      <c r="JWT23"/>
      <c r="JWU23"/>
      <c r="JWV23"/>
      <c r="JWW23"/>
      <c r="JWX23"/>
      <c r="JWY23"/>
      <c r="JWZ23"/>
      <c r="JXA23"/>
      <c r="JXB23"/>
      <c r="JXC23"/>
      <c r="JXD23"/>
      <c r="JXE23"/>
      <c r="JXF23"/>
      <c r="JXG23"/>
      <c r="JXH23"/>
      <c r="JXI23"/>
      <c r="JXJ23"/>
      <c r="JXK23"/>
      <c r="JXL23"/>
      <c r="JXM23"/>
      <c r="JXN23"/>
      <c r="JXO23"/>
      <c r="JXP23"/>
      <c r="JXQ23"/>
      <c r="JXR23"/>
      <c r="JXS23"/>
      <c r="JXT23"/>
      <c r="JXU23"/>
      <c r="JXV23"/>
      <c r="JXW23"/>
      <c r="JXX23"/>
      <c r="JXY23"/>
      <c r="JXZ23"/>
      <c r="JYA23"/>
      <c r="JYB23"/>
      <c r="JYC23"/>
      <c r="JYD23"/>
      <c r="JYE23"/>
      <c r="JYF23"/>
      <c r="JYG23"/>
      <c r="JYH23"/>
      <c r="JYI23"/>
      <c r="JYJ23"/>
      <c r="JYK23"/>
      <c r="JYL23"/>
      <c r="JYM23"/>
      <c r="JYN23"/>
      <c r="JYO23"/>
      <c r="JYP23"/>
      <c r="JYQ23"/>
      <c r="JYR23"/>
      <c r="JYS23"/>
      <c r="JYT23"/>
      <c r="JYU23"/>
      <c r="JYV23"/>
      <c r="JYW23"/>
      <c r="JYX23"/>
      <c r="JYY23"/>
      <c r="JYZ23"/>
      <c r="JZA23"/>
      <c r="JZB23"/>
      <c r="JZC23"/>
      <c r="JZD23"/>
      <c r="JZE23"/>
      <c r="JZF23"/>
      <c r="JZG23"/>
      <c r="JZH23"/>
      <c r="JZI23"/>
      <c r="JZJ23"/>
      <c r="JZK23"/>
      <c r="JZL23"/>
      <c r="JZM23"/>
      <c r="JZN23"/>
      <c r="JZO23"/>
      <c r="JZP23"/>
      <c r="JZQ23"/>
      <c r="JZR23"/>
      <c r="JZS23"/>
      <c r="JZT23"/>
      <c r="JZU23"/>
      <c r="JZV23"/>
      <c r="JZW23"/>
      <c r="JZX23"/>
      <c r="JZY23"/>
      <c r="JZZ23"/>
      <c r="KAA23"/>
      <c r="KAB23"/>
      <c r="KAC23"/>
      <c r="KAD23"/>
      <c r="KAE23"/>
      <c r="KAF23"/>
      <c r="KAG23"/>
      <c r="KAH23"/>
      <c r="KAI23"/>
      <c r="KAJ23"/>
      <c r="KAK23"/>
      <c r="KAL23"/>
      <c r="KAM23"/>
      <c r="KAN23"/>
      <c r="KAO23"/>
      <c r="KAP23"/>
      <c r="KAQ23"/>
      <c r="KAR23"/>
      <c r="KAS23"/>
      <c r="KAT23"/>
      <c r="KAU23"/>
      <c r="KAV23"/>
      <c r="KAW23"/>
      <c r="KAX23"/>
      <c r="KAY23"/>
      <c r="KAZ23"/>
      <c r="KBA23"/>
      <c r="KBB23"/>
      <c r="KBC23"/>
      <c r="KBD23"/>
      <c r="KBE23"/>
      <c r="KBF23"/>
      <c r="KBG23"/>
      <c r="KBH23"/>
      <c r="KBI23"/>
      <c r="KBJ23"/>
      <c r="KBK23"/>
      <c r="KBL23"/>
      <c r="KBM23"/>
      <c r="KBN23"/>
      <c r="KBO23"/>
      <c r="KBP23"/>
      <c r="KBQ23"/>
      <c r="KBR23"/>
      <c r="KBS23"/>
      <c r="KBT23"/>
      <c r="KBU23"/>
      <c r="KBV23"/>
      <c r="KBW23"/>
      <c r="KBX23"/>
      <c r="KBY23"/>
      <c r="KBZ23"/>
      <c r="KCA23"/>
      <c r="KCB23"/>
      <c r="KCC23"/>
      <c r="KCD23"/>
      <c r="KCE23"/>
      <c r="KCF23"/>
      <c r="KCG23"/>
      <c r="KCH23"/>
      <c r="KCI23"/>
      <c r="KCJ23"/>
      <c r="KCK23"/>
      <c r="KCL23"/>
      <c r="KCM23"/>
      <c r="KCN23"/>
      <c r="KCO23"/>
      <c r="KCP23"/>
      <c r="KCQ23"/>
      <c r="KCR23"/>
      <c r="KCS23"/>
      <c r="KCT23"/>
      <c r="KCU23"/>
      <c r="KCV23"/>
      <c r="KCW23"/>
      <c r="KCX23"/>
      <c r="KCY23"/>
      <c r="KCZ23"/>
      <c r="KDA23"/>
      <c r="KDB23"/>
      <c r="KDC23"/>
      <c r="KDD23"/>
      <c r="KDE23"/>
      <c r="KDF23"/>
      <c r="KDG23"/>
      <c r="KDH23"/>
      <c r="KDI23"/>
      <c r="KDJ23"/>
      <c r="KDK23"/>
      <c r="KDL23"/>
      <c r="KDM23"/>
      <c r="KDN23"/>
      <c r="KDO23"/>
      <c r="KDP23"/>
      <c r="KDQ23"/>
      <c r="KDR23"/>
      <c r="KDS23"/>
      <c r="KDT23"/>
      <c r="KDU23"/>
      <c r="KDV23"/>
      <c r="KDW23"/>
      <c r="KDX23"/>
      <c r="KDY23"/>
      <c r="KDZ23"/>
      <c r="KEA23"/>
      <c r="KEB23"/>
      <c r="KEC23"/>
      <c r="KED23"/>
      <c r="KEE23"/>
      <c r="KEF23"/>
      <c r="KEG23"/>
      <c r="KEH23"/>
      <c r="KEI23"/>
      <c r="KEJ23"/>
      <c r="KEK23"/>
      <c r="KEL23"/>
      <c r="KEM23"/>
      <c r="KEN23"/>
      <c r="KEO23"/>
      <c r="KEP23"/>
      <c r="KEQ23"/>
      <c r="KER23"/>
      <c r="KES23"/>
      <c r="KET23"/>
      <c r="KEU23"/>
      <c r="KEV23"/>
      <c r="KEW23"/>
      <c r="KEX23"/>
      <c r="KEY23"/>
      <c r="KEZ23"/>
      <c r="KFA23"/>
      <c r="KFB23"/>
      <c r="KFC23"/>
      <c r="KFD23"/>
      <c r="KFE23"/>
      <c r="KFF23"/>
      <c r="KFG23"/>
      <c r="KFH23"/>
      <c r="KFI23"/>
      <c r="KFJ23"/>
      <c r="KFK23"/>
      <c r="KFL23"/>
      <c r="KFM23"/>
      <c r="KFN23"/>
      <c r="KFO23"/>
      <c r="KFP23"/>
      <c r="KFQ23"/>
      <c r="KFR23"/>
      <c r="KFS23"/>
      <c r="KFT23"/>
      <c r="KFU23"/>
      <c r="KFV23"/>
      <c r="KFW23"/>
      <c r="KFX23"/>
      <c r="KFY23"/>
      <c r="KFZ23"/>
      <c r="KGA23"/>
      <c r="KGB23"/>
      <c r="KGC23"/>
      <c r="KGD23"/>
      <c r="KGE23"/>
      <c r="KGF23"/>
      <c r="KGG23"/>
      <c r="KGH23"/>
      <c r="KGI23"/>
      <c r="KGJ23"/>
      <c r="KGK23"/>
      <c r="KGL23"/>
      <c r="KGM23"/>
      <c r="KGN23"/>
      <c r="KGO23"/>
      <c r="KGP23"/>
      <c r="KGQ23"/>
      <c r="KGR23"/>
      <c r="KGS23"/>
      <c r="KGT23"/>
      <c r="KGU23"/>
      <c r="KGV23"/>
      <c r="KGW23"/>
      <c r="KGX23"/>
      <c r="KGY23"/>
      <c r="KGZ23"/>
      <c r="KHA23"/>
      <c r="KHB23"/>
      <c r="KHC23"/>
      <c r="KHD23"/>
      <c r="KHE23"/>
      <c r="KHF23"/>
      <c r="KHG23"/>
      <c r="KHH23"/>
      <c r="KHI23"/>
      <c r="KHJ23"/>
      <c r="KHK23"/>
      <c r="KHL23"/>
      <c r="KHM23"/>
      <c r="KHN23"/>
      <c r="KHO23"/>
      <c r="KHP23"/>
      <c r="KHQ23"/>
      <c r="KHR23"/>
      <c r="KHS23"/>
      <c r="KHT23"/>
      <c r="KHU23"/>
      <c r="KHV23"/>
      <c r="KHW23"/>
      <c r="KHX23"/>
      <c r="KHY23"/>
      <c r="KHZ23"/>
      <c r="KIA23"/>
      <c r="KIB23"/>
      <c r="KIC23"/>
      <c r="KID23"/>
      <c r="KIE23"/>
      <c r="KIF23"/>
      <c r="KIG23"/>
      <c r="KIH23"/>
      <c r="KII23"/>
      <c r="KIJ23"/>
      <c r="KIK23"/>
      <c r="KIL23"/>
      <c r="KIM23"/>
      <c r="KIN23"/>
      <c r="KIO23"/>
      <c r="KIP23"/>
      <c r="KIQ23"/>
      <c r="KIR23"/>
      <c r="KIS23"/>
      <c r="KIT23"/>
      <c r="KIU23"/>
      <c r="KIV23"/>
      <c r="KIW23"/>
      <c r="KIX23"/>
      <c r="KIY23"/>
      <c r="KIZ23"/>
      <c r="KJA23"/>
      <c r="KJB23"/>
      <c r="KJC23"/>
      <c r="KJD23"/>
      <c r="KJE23"/>
      <c r="KJF23"/>
      <c r="KJG23"/>
      <c r="KJH23"/>
      <c r="KJI23"/>
      <c r="KJJ23"/>
      <c r="KJK23"/>
      <c r="KJL23"/>
      <c r="KJM23"/>
      <c r="KJN23"/>
      <c r="KJO23"/>
      <c r="KJP23"/>
      <c r="KJQ23"/>
      <c r="KJR23"/>
      <c r="KJS23"/>
      <c r="KJT23"/>
      <c r="KJU23"/>
      <c r="KJV23"/>
      <c r="KJW23"/>
      <c r="KJX23"/>
      <c r="KJY23"/>
      <c r="KJZ23"/>
      <c r="KKA23"/>
      <c r="KKB23"/>
      <c r="KKC23"/>
      <c r="KKD23"/>
      <c r="KKE23"/>
      <c r="KKF23"/>
      <c r="KKG23"/>
      <c r="KKH23"/>
      <c r="KKI23"/>
      <c r="KKJ23"/>
      <c r="KKK23"/>
      <c r="KKL23"/>
      <c r="KKM23"/>
      <c r="KKN23"/>
      <c r="KKO23"/>
      <c r="KKP23"/>
      <c r="KKQ23"/>
      <c r="KKR23"/>
      <c r="KKS23"/>
      <c r="KKT23"/>
      <c r="KKU23"/>
      <c r="KKV23"/>
      <c r="KKW23"/>
      <c r="KKX23"/>
      <c r="KKY23"/>
      <c r="KKZ23"/>
      <c r="KLA23"/>
      <c r="KLB23"/>
      <c r="KLC23"/>
      <c r="KLD23"/>
      <c r="KLE23"/>
      <c r="KLF23"/>
      <c r="KLG23"/>
      <c r="KLH23"/>
      <c r="KLI23"/>
      <c r="KLJ23"/>
      <c r="KLK23"/>
      <c r="KLL23"/>
      <c r="KLM23"/>
      <c r="KLN23"/>
      <c r="KLO23"/>
      <c r="KLP23"/>
      <c r="KLQ23"/>
      <c r="KLR23"/>
      <c r="KLS23"/>
      <c r="KLT23"/>
      <c r="KLU23"/>
      <c r="KLV23"/>
      <c r="KLW23"/>
      <c r="KLX23"/>
      <c r="KLY23"/>
      <c r="KLZ23"/>
      <c r="KMA23"/>
      <c r="KMB23"/>
      <c r="KMC23"/>
      <c r="KMD23"/>
      <c r="KME23"/>
      <c r="KMF23"/>
      <c r="KMG23"/>
      <c r="KMH23"/>
      <c r="KMI23"/>
      <c r="KMJ23"/>
      <c r="KMK23"/>
      <c r="KML23"/>
      <c r="KMM23"/>
      <c r="KMN23"/>
      <c r="KMO23"/>
      <c r="KMP23"/>
      <c r="KMQ23"/>
      <c r="KMR23"/>
      <c r="KMS23"/>
      <c r="KMT23"/>
      <c r="KMU23"/>
      <c r="KMV23"/>
      <c r="KMW23"/>
      <c r="KMX23"/>
      <c r="KMY23"/>
      <c r="KMZ23"/>
      <c r="KNA23"/>
      <c r="KNB23"/>
      <c r="KNC23"/>
      <c r="KND23"/>
      <c r="KNE23"/>
      <c r="KNF23"/>
      <c r="KNG23"/>
      <c r="KNH23"/>
      <c r="KNI23"/>
      <c r="KNJ23"/>
      <c r="KNK23"/>
      <c r="KNL23"/>
      <c r="KNM23"/>
      <c r="KNN23"/>
      <c r="KNO23"/>
      <c r="KNP23"/>
      <c r="KNQ23"/>
      <c r="KNR23"/>
      <c r="KNS23"/>
      <c r="KNT23"/>
      <c r="KNU23"/>
      <c r="KNV23"/>
      <c r="KNW23"/>
      <c r="KNX23"/>
      <c r="KNY23"/>
      <c r="KNZ23"/>
      <c r="KOA23"/>
      <c r="KOB23"/>
      <c r="KOC23"/>
      <c r="KOD23"/>
      <c r="KOE23"/>
      <c r="KOF23"/>
      <c r="KOG23"/>
      <c r="KOH23"/>
      <c r="KOI23"/>
      <c r="KOJ23"/>
      <c r="KOK23"/>
      <c r="KOL23"/>
      <c r="KOM23"/>
      <c r="KON23"/>
      <c r="KOO23"/>
      <c r="KOP23"/>
      <c r="KOQ23"/>
      <c r="KOR23"/>
      <c r="KOS23"/>
      <c r="KOT23"/>
      <c r="KOU23"/>
      <c r="KOV23"/>
      <c r="KOW23"/>
      <c r="KOX23"/>
      <c r="KOY23"/>
      <c r="KOZ23"/>
      <c r="KPA23"/>
      <c r="KPB23"/>
      <c r="KPC23"/>
      <c r="KPD23"/>
      <c r="KPE23"/>
      <c r="KPF23"/>
      <c r="KPG23"/>
      <c r="KPH23"/>
      <c r="KPI23"/>
      <c r="KPJ23"/>
      <c r="KPK23"/>
      <c r="KPL23"/>
      <c r="KPM23"/>
      <c r="KPN23"/>
      <c r="KPO23"/>
      <c r="KPP23"/>
      <c r="KPQ23"/>
      <c r="KPR23"/>
      <c r="KPS23"/>
      <c r="KPT23"/>
      <c r="KPU23"/>
      <c r="KPV23"/>
      <c r="KPW23"/>
      <c r="KPX23"/>
      <c r="KPY23"/>
      <c r="KPZ23"/>
      <c r="KQA23"/>
      <c r="KQB23"/>
      <c r="KQC23"/>
      <c r="KQD23"/>
      <c r="KQE23"/>
      <c r="KQF23"/>
      <c r="KQG23"/>
      <c r="KQH23"/>
      <c r="KQI23"/>
      <c r="KQJ23"/>
      <c r="KQK23"/>
      <c r="KQL23"/>
      <c r="KQM23"/>
      <c r="KQN23"/>
      <c r="KQO23"/>
      <c r="KQP23"/>
      <c r="KQQ23"/>
      <c r="KQR23"/>
      <c r="KQS23"/>
      <c r="KQT23"/>
      <c r="KQU23"/>
      <c r="KQV23"/>
      <c r="KQW23"/>
      <c r="KQX23"/>
      <c r="KQY23"/>
      <c r="KQZ23"/>
      <c r="KRA23"/>
      <c r="KRB23"/>
      <c r="KRC23"/>
      <c r="KRD23"/>
      <c r="KRE23"/>
      <c r="KRF23"/>
      <c r="KRG23"/>
      <c r="KRH23"/>
      <c r="KRI23"/>
      <c r="KRJ23"/>
      <c r="KRK23"/>
      <c r="KRL23"/>
      <c r="KRM23"/>
      <c r="KRN23"/>
      <c r="KRO23"/>
      <c r="KRP23"/>
      <c r="KRQ23"/>
      <c r="KRR23"/>
      <c r="KRS23"/>
      <c r="KRT23"/>
      <c r="KRU23"/>
      <c r="KRV23"/>
      <c r="KRW23"/>
      <c r="KRX23"/>
      <c r="KRY23"/>
      <c r="KRZ23"/>
      <c r="KSA23"/>
      <c r="KSB23"/>
      <c r="KSC23"/>
      <c r="KSD23"/>
      <c r="KSE23"/>
      <c r="KSF23"/>
      <c r="KSG23"/>
      <c r="KSH23"/>
      <c r="KSI23"/>
      <c r="KSJ23"/>
      <c r="KSK23"/>
      <c r="KSL23"/>
      <c r="KSM23"/>
      <c r="KSN23"/>
      <c r="KSO23"/>
      <c r="KSP23"/>
      <c r="KSQ23"/>
      <c r="KSR23"/>
      <c r="KSS23"/>
      <c r="KST23"/>
      <c r="KSU23"/>
      <c r="KSV23"/>
      <c r="KSW23"/>
      <c r="KSX23"/>
      <c r="KSY23"/>
      <c r="KSZ23"/>
      <c r="KTA23"/>
      <c r="KTB23"/>
      <c r="KTC23"/>
      <c r="KTD23"/>
      <c r="KTE23"/>
      <c r="KTF23"/>
      <c r="KTG23"/>
      <c r="KTH23"/>
      <c r="KTI23"/>
      <c r="KTJ23"/>
      <c r="KTK23"/>
      <c r="KTL23"/>
      <c r="KTM23"/>
      <c r="KTN23"/>
      <c r="KTO23"/>
      <c r="KTP23"/>
      <c r="KTQ23"/>
      <c r="KTR23"/>
      <c r="KTS23"/>
      <c r="KTT23"/>
      <c r="KTU23"/>
      <c r="KTV23"/>
      <c r="KTW23"/>
      <c r="KTX23"/>
      <c r="KTY23"/>
      <c r="KTZ23"/>
      <c r="KUA23"/>
      <c r="KUB23"/>
      <c r="KUC23"/>
      <c r="KUD23"/>
      <c r="KUE23"/>
      <c r="KUF23"/>
      <c r="KUG23"/>
      <c r="KUH23"/>
      <c r="KUI23"/>
      <c r="KUJ23"/>
      <c r="KUK23"/>
      <c r="KUL23"/>
      <c r="KUM23"/>
      <c r="KUN23"/>
      <c r="KUO23"/>
      <c r="KUP23"/>
      <c r="KUQ23"/>
      <c r="KUR23"/>
      <c r="KUS23"/>
      <c r="KUT23"/>
      <c r="KUU23"/>
      <c r="KUV23"/>
      <c r="KUW23"/>
      <c r="KUX23"/>
      <c r="KUY23"/>
      <c r="KUZ23"/>
      <c r="KVA23"/>
      <c r="KVB23"/>
      <c r="KVC23"/>
      <c r="KVD23"/>
      <c r="KVE23"/>
      <c r="KVF23"/>
      <c r="KVG23"/>
      <c r="KVH23"/>
      <c r="KVI23"/>
      <c r="KVJ23"/>
      <c r="KVK23"/>
      <c r="KVL23"/>
      <c r="KVM23"/>
      <c r="KVN23"/>
      <c r="KVO23"/>
      <c r="KVP23"/>
      <c r="KVQ23"/>
      <c r="KVR23"/>
      <c r="KVS23"/>
      <c r="KVT23"/>
      <c r="KVU23"/>
      <c r="KVV23"/>
      <c r="KVW23"/>
      <c r="KVX23"/>
      <c r="KVY23"/>
      <c r="KVZ23"/>
      <c r="KWA23"/>
      <c r="KWB23"/>
      <c r="KWC23"/>
      <c r="KWD23"/>
      <c r="KWE23"/>
      <c r="KWF23"/>
      <c r="KWG23"/>
      <c r="KWH23"/>
      <c r="KWI23"/>
      <c r="KWJ23"/>
      <c r="KWK23"/>
      <c r="KWL23"/>
      <c r="KWM23"/>
      <c r="KWN23"/>
      <c r="KWO23"/>
      <c r="KWP23"/>
      <c r="KWQ23"/>
      <c r="KWR23"/>
      <c r="KWS23"/>
      <c r="KWT23"/>
      <c r="KWU23"/>
      <c r="KWV23"/>
      <c r="KWW23"/>
      <c r="KWX23"/>
      <c r="KWY23"/>
      <c r="KWZ23"/>
      <c r="KXA23"/>
      <c r="KXB23"/>
      <c r="KXC23"/>
      <c r="KXD23"/>
      <c r="KXE23"/>
      <c r="KXF23"/>
      <c r="KXG23"/>
      <c r="KXH23"/>
      <c r="KXI23"/>
      <c r="KXJ23"/>
      <c r="KXK23"/>
      <c r="KXL23"/>
      <c r="KXM23"/>
      <c r="KXN23"/>
      <c r="KXO23"/>
      <c r="KXP23"/>
      <c r="KXQ23"/>
      <c r="KXR23"/>
      <c r="KXS23"/>
      <c r="KXT23"/>
      <c r="KXU23"/>
      <c r="KXV23"/>
      <c r="KXW23"/>
      <c r="KXX23"/>
      <c r="KXY23"/>
      <c r="KXZ23"/>
      <c r="KYA23"/>
      <c r="KYB23"/>
      <c r="KYC23"/>
      <c r="KYD23"/>
      <c r="KYE23"/>
      <c r="KYF23"/>
      <c r="KYG23"/>
      <c r="KYH23"/>
      <c r="KYI23"/>
      <c r="KYJ23"/>
      <c r="KYK23"/>
      <c r="KYL23"/>
      <c r="KYM23"/>
      <c r="KYN23"/>
      <c r="KYO23"/>
      <c r="KYP23"/>
      <c r="KYQ23"/>
      <c r="KYR23"/>
      <c r="KYS23"/>
      <c r="KYT23"/>
      <c r="KYU23"/>
      <c r="KYV23"/>
      <c r="KYW23"/>
      <c r="KYX23"/>
      <c r="KYY23"/>
      <c r="KYZ23"/>
      <c r="KZA23"/>
      <c r="KZB23"/>
      <c r="KZC23"/>
      <c r="KZD23"/>
      <c r="KZE23"/>
      <c r="KZF23"/>
      <c r="KZG23"/>
      <c r="KZH23"/>
      <c r="KZI23"/>
      <c r="KZJ23"/>
      <c r="KZK23"/>
      <c r="KZL23"/>
      <c r="KZM23"/>
      <c r="KZN23"/>
      <c r="KZO23"/>
      <c r="KZP23"/>
      <c r="KZQ23"/>
      <c r="KZR23"/>
      <c r="KZS23"/>
      <c r="KZT23"/>
      <c r="KZU23"/>
      <c r="KZV23"/>
      <c r="KZW23"/>
      <c r="KZX23"/>
      <c r="KZY23"/>
      <c r="KZZ23"/>
      <c r="LAA23"/>
      <c r="LAB23"/>
      <c r="LAC23"/>
      <c r="LAD23"/>
      <c r="LAE23"/>
      <c r="LAF23"/>
      <c r="LAG23"/>
      <c r="LAH23"/>
      <c r="LAI23"/>
      <c r="LAJ23"/>
      <c r="LAK23"/>
      <c r="LAL23"/>
      <c r="LAM23"/>
      <c r="LAN23"/>
      <c r="LAO23"/>
      <c r="LAP23"/>
      <c r="LAQ23"/>
      <c r="LAR23"/>
      <c r="LAS23"/>
      <c r="LAT23"/>
      <c r="LAU23"/>
      <c r="LAV23"/>
      <c r="LAW23"/>
      <c r="LAX23"/>
      <c r="LAY23"/>
      <c r="LAZ23"/>
      <c r="LBA23"/>
      <c r="LBB23"/>
      <c r="LBC23"/>
      <c r="LBD23"/>
      <c r="LBE23"/>
      <c r="LBF23"/>
      <c r="LBG23"/>
      <c r="LBH23"/>
      <c r="LBI23"/>
      <c r="LBJ23"/>
      <c r="LBK23"/>
      <c r="LBL23"/>
      <c r="LBM23"/>
      <c r="LBN23"/>
      <c r="LBO23"/>
      <c r="LBP23"/>
      <c r="LBQ23"/>
      <c r="LBR23"/>
      <c r="LBS23"/>
      <c r="LBT23"/>
      <c r="LBU23"/>
      <c r="LBV23"/>
      <c r="LBW23"/>
      <c r="LBX23"/>
      <c r="LBY23"/>
      <c r="LBZ23"/>
      <c r="LCA23"/>
      <c r="LCB23"/>
      <c r="LCC23"/>
      <c r="LCD23"/>
      <c r="LCE23"/>
      <c r="LCF23"/>
      <c r="LCG23"/>
      <c r="LCH23"/>
      <c r="LCI23"/>
      <c r="LCJ23"/>
      <c r="LCK23"/>
      <c r="LCL23"/>
      <c r="LCM23"/>
      <c r="LCN23"/>
      <c r="LCO23"/>
      <c r="LCP23"/>
      <c r="LCQ23"/>
      <c r="LCR23"/>
      <c r="LCS23"/>
      <c r="LCT23"/>
      <c r="LCU23"/>
      <c r="LCV23"/>
      <c r="LCW23"/>
      <c r="LCX23"/>
      <c r="LCY23"/>
      <c r="LCZ23"/>
      <c r="LDA23"/>
      <c r="LDB23"/>
      <c r="LDC23"/>
      <c r="LDD23"/>
      <c r="LDE23"/>
      <c r="LDF23"/>
      <c r="LDG23"/>
      <c r="LDH23"/>
      <c r="LDI23"/>
      <c r="LDJ23"/>
      <c r="LDK23"/>
      <c r="LDL23"/>
      <c r="LDM23"/>
      <c r="LDN23"/>
      <c r="LDO23"/>
      <c r="LDP23"/>
      <c r="LDQ23"/>
      <c r="LDR23"/>
      <c r="LDS23"/>
      <c r="LDT23"/>
      <c r="LDU23"/>
      <c r="LDV23"/>
      <c r="LDW23"/>
      <c r="LDX23"/>
      <c r="LDY23"/>
      <c r="LDZ23"/>
      <c r="LEA23"/>
      <c r="LEB23"/>
      <c r="LEC23"/>
      <c r="LED23"/>
      <c r="LEE23"/>
      <c r="LEF23"/>
      <c r="LEG23"/>
      <c r="LEH23"/>
      <c r="LEI23"/>
      <c r="LEJ23"/>
      <c r="LEK23"/>
      <c r="LEL23"/>
      <c r="LEM23"/>
      <c r="LEN23"/>
      <c r="LEO23"/>
      <c r="LEP23"/>
      <c r="LEQ23"/>
      <c r="LER23"/>
      <c r="LES23"/>
      <c r="LET23"/>
      <c r="LEU23"/>
      <c r="LEV23"/>
      <c r="LEW23"/>
      <c r="LEX23"/>
      <c r="LEY23"/>
      <c r="LEZ23"/>
      <c r="LFA23"/>
      <c r="LFB23"/>
      <c r="LFC23"/>
      <c r="LFD23"/>
      <c r="LFE23"/>
      <c r="LFF23"/>
      <c r="LFG23"/>
      <c r="LFH23"/>
      <c r="LFI23"/>
      <c r="LFJ23"/>
      <c r="LFK23"/>
      <c r="LFL23"/>
      <c r="LFM23"/>
      <c r="LFN23"/>
      <c r="LFO23"/>
      <c r="LFP23"/>
      <c r="LFQ23"/>
      <c r="LFR23"/>
      <c r="LFS23"/>
      <c r="LFT23"/>
      <c r="LFU23"/>
      <c r="LFV23"/>
      <c r="LFW23"/>
      <c r="LFX23"/>
      <c r="LFY23"/>
      <c r="LFZ23"/>
      <c r="LGA23"/>
      <c r="LGB23"/>
      <c r="LGC23"/>
      <c r="LGD23"/>
      <c r="LGE23"/>
      <c r="LGF23"/>
      <c r="LGG23"/>
      <c r="LGH23"/>
      <c r="LGI23"/>
      <c r="LGJ23"/>
      <c r="LGK23"/>
      <c r="LGL23"/>
      <c r="LGM23"/>
      <c r="LGN23"/>
      <c r="LGO23"/>
      <c r="LGP23"/>
      <c r="LGQ23"/>
      <c r="LGR23"/>
      <c r="LGS23"/>
      <c r="LGT23"/>
      <c r="LGU23"/>
      <c r="LGV23"/>
      <c r="LGW23"/>
      <c r="LGX23"/>
      <c r="LGY23"/>
      <c r="LGZ23"/>
      <c r="LHA23"/>
      <c r="LHB23"/>
      <c r="LHC23"/>
      <c r="LHD23"/>
      <c r="LHE23"/>
      <c r="LHF23"/>
      <c r="LHG23"/>
      <c r="LHH23"/>
      <c r="LHI23"/>
      <c r="LHJ23"/>
      <c r="LHK23"/>
      <c r="LHL23"/>
      <c r="LHM23"/>
      <c r="LHN23"/>
      <c r="LHO23"/>
      <c r="LHP23"/>
      <c r="LHQ23"/>
      <c r="LHR23"/>
      <c r="LHS23"/>
      <c r="LHT23"/>
      <c r="LHU23"/>
      <c r="LHV23"/>
      <c r="LHW23"/>
      <c r="LHX23"/>
      <c r="LHY23"/>
      <c r="LHZ23"/>
      <c r="LIA23"/>
      <c r="LIB23"/>
      <c r="LIC23"/>
      <c r="LID23"/>
      <c r="LIE23"/>
      <c r="LIF23"/>
      <c r="LIG23"/>
      <c r="LIH23"/>
      <c r="LII23"/>
      <c r="LIJ23"/>
      <c r="LIK23"/>
      <c r="LIL23"/>
      <c r="LIM23"/>
      <c r="LIN23"/>
      <c r="LIO23"/>
      <c r="LIP23"/>
      <c r="LIQ23"/>
      <c r="LIR23"/>
      <c r="LIS23"/>
      <c r="LIT23"/>
      <c r="LIU23"/>
      <c r="LIV23"/>
      <c r="LIW23"/>
      <c r="LIX23"/>
      <c r="LIY23"/>
      <c r="LIZ23"/>
      <c r="LJA23"/>
      <c r="LJB23"/>
      <c r="LJC23"/>
      <c r="LJD23"/>
      <c r="LJE23"/>
      <c r="LJF23"/>
      <c r="LJG23"/>
      <c r="LJH23"/>
      <c r="LJI23"/>
      <c r="LJJ23"/>
      <c r="LJK23"/>
      <c r="LJL23"/>
      <c r="LJM23"/>
      <c r="LJN23"/>
      <c r="LJO23"/>
      <c r="LJP23"/>
      <c r="LJQ23"/>
      <c r="LJR23"/>
      <c r="LJS23"/>
      <c r="LJT23"/>
      <c r="LJU23"/>
      <c r="LJV23"/>
      <c r="LJW23"/>
      <c r="LJX23"/>
      <c r="LJY23"/>
      <c r="LJZ23"/>
      <c r="LKA23"/>
      <c r="LKB23"/>
      <c r="LKC23"/>
      <c r="LKD23"/>
      <c r="LKE23"/>
      <c r="LKF23"/>
      <c r="LKG23"/>
      <c r="LKH23"/>
      <c r="LKI23"/>
      <c r="LKJ23"/>
      <c r="LKK23"/>
      <c r="LKL23"/>
      <c r="LKM23"/>
      <c r="LKN23"/>
      <c r="LKO23"/>
      <c r="LKP23"/>
      <c r="LKQ23"/>
      <c r="LKR23"/>
      <c r="LKS23"/>
      <c r="LKT23"/>
      <c r="LKU23"/>
      <c r="LKV23"/>
      <c r="LKW23"/>
      <c r="LKX23"/>
      <c r="LKY23"/>
      <c r="LKZ23"/>
      <c r="LLA23"/>
      <c r="LLB23"/>
      <c r="LLC23"/>
      <c r="LLD23"/>
      <c r="LLE23"/>
      <c r="LLF23"/>
      <c r="LLG23"/>
      <c r="LLH23"/>
      <c r="LLI23"/>
      <c r="LLJ23"/>
      <c r="LLK23"/>
      <c r="LLL23"/>
      <c r="LLM23"/>
      <c r="LLN23"/>
      <c r="LLO23"/>
      <c r="LLP23"/>
      <c r="LLQ23"/>
      <c r="LLR23"/>
      <c r="LLS23"/>
      <c r="LLT23"/>
      <c r="LLU23"/>
      <c r="LLV23"/>
      <c r="LLW23"/>
      <c r="LLX23"/>
      <c r="LLY23"/>
      <c r="LLZ23"/>
      <c r="LMA23"/>
      <c r="LMB23"/>
      <c r="LMC23"/>
      <c r="LMD23"/>
      <c r="LME23"/>
      <c r="LMF23"/>
      <c r="LMG23"/>
      <c r="LMH23"/>
      <c r="LMI23"/>
      <c r="LMJ23"/>
      <c r="LMK23"/>
      <c r="LML23"/>
      <c r="LMM23"/>
      <c r="LMN23"/>
      <c r="LMO23"/>
      <c r="LMP23"/>
      <c r="LMQ23"/>
      <c r="LMR23"/>
      <c r="LMS23"/>
      <c r="LMT23"/>
      <c r="LMU23"/>
      <c r="LMV23"/>
      <c r="LMW23"/>
      <c r="LMX23"/>
      <c r="LMY23"/>
      <c r="LMZ23"/>
      <c r="LNA23"/>
      <c r="LNB23"/>
      <c r="LNC23"/>
      <c r="LND23"/>
      <c r="LNE23"/>
      <c r="LNF23"/>
      <c r="LNG23"/>
      <c r="LNH23"/>
      <c r="LNI23"/>
      <c r="LNJ23"/>
      <c r="LNK23"/>
      <c r="LNL23"/>
      <c r="LNM23"/>
      <c r="LNN23"/>
      <c r="LNO23"/>
      <c r="LNP23"/>
      <c r="LNQ23"/>
      <c r="LNR23"/>
      <c r="LNS23"/>
      <c r="LNT23"/>
      <c r="LNU23"/>
      <c r="LNV23"/>
      <c r="LNW23"/>
      <c r="LNX23"/>
      <c r="LNY23"/>
      <c r="LNZ23"/>
      <c r="LOA23"/>
      <c r="LOB23"/>
      <c r="LOC23"/>
      <c r="LOD23"/>
      <c r="LOE23"/>
      <c r="LOF23"/>
      <c r="LOG23"/>
      <c r="LOH23"/>
      <c r="LOI23"/>
      <c r="LOJ23"/>
      <c r="LOK23"/>
      <c r="LOL23"/>
      <c r="LOM23"/>
      <c r="LON23"/>
      <c r="LOO23"/>
      <c r="LOP23"/>
      <c r="LOQ23"/>
      <c r="LOR23"/>
      <c r="LOS23"/>
      <c r="LOT23"/>
      <c r="LOU23"/>
      <c r="LOV23"/>
      <c r="LOW23"/>
      <c r="LOX23"/>
      <c r="LOY23"/>
      <c r="LOZ23"/>
      <c r="LPA23"/>
      <c r="LPB23"/>
      <c r="LPC23"/>
      <c r="LPD23"/>
      <c r="LPE23"/>
      <c r="LPF23"/>
      <c r="LPG23"/>
      <c r="LPH23"/>
      <c r="LPI23"/>
      <c r="LPJ23"/>
      <c r="LPK23"/>
      <c r="LPL23"/>
      <c r="LPM23"/>
      <c r="LPN23"/>
      <c r="LPO23"/>
      <c r="LPP23"/>
      <c r="LPQ23"/>
      <c r="LPR23"/>
      <c r="LPS23"/>
      <c r="LPT23"/>
      <c r="LPU23"/>
      <c r="LPV23"/>
      <c r="LPW23"/>
      <c r="LPX23"/>
      <c r="LPY23"/>
      <c r="LPZ23"/>
      <c r="LQA23"/>
      <c r="LQB23"/>
      <c r="LQC23"/>
      <c r="LQD23"/>
      <c r="LQE23"/>
      <c r="LQF23"/>
      <c r="LQG23"/>
      <c r="LQH23"/>
      <c r="LQI23"/>
      <c r="LQJ23"/>
      <c r="LQK23"/>
      <c r="LQL23"/>
      <c r="LQM23"/>
      <c r="LQN23"/>
      <c r="LQO23"/>
      <c r="LQP23"/>
      <c r="LQQ23"/>
      <c r="LQR23"/>
      <c r="LQS23"/>
      <c r="LQT23"/>
      <c r="LQU23"/>
      <c r="LQV23"/>
      <c r="LQW23"/>
      <c r="LQX23"/>
      <c r="LQY23"/>
      <c r="LQZ23"/>
      <c r="LRA23"/>
      <c r="LRB23"/>
      <c r="LRC23"/>
      <c r="LRD23"/>
      <c r="LRE23"/>
      <c r="LRF23"/>
      <c r="LRG23"/>
      <c r="LRH23"/>
      <c r="LRI23"/>
      <c r="LRJ23"/>
      <c r="LRK23"/>
      <c r="LRL23"/>
      <c r="LRM23"/>
      <c r="LRN23"/>
      <c r="LRO23"/>
      <c r="LRP23"/>
      <c r="LRQ23"/>
      <c r="LRR23"/>
      <c r="LRS23"/>
      <c r="LRT23"/>
      <c r="LRU23"/>
      <c r="LRV23"/>
      <c r="LRW23"/>
      <c r="LRX23"/>
      <c r="LRY23"/>
      <c r="LRZ23"/>
      <c r="LSA23"/>
      <c r="LSB23"/>
      <c r="LSC23"/>
      <c r="LSD23"/>
      <c r="LSE23"/>
      <c r="LSF23"/>
      <c r="LSG23"/>
      <c r="LSH23"/>
      <c r="LSI23"/>
      <c r="LSJ23"/>
      <c r="LSK23"/>
      <c r="LSL23"/>
      <c r="LSM23"/>
      <c r="LSN23"/>
      <c r="LSO23"/>
      <c r="LSP23"/>
      <c r="LSQ23"/>
      <c r="LSR23"/>
      <c r="LSS23"/>
      <c r="LST23"/>
      <c r="LSU23"/>
      <c r="LSV23"/>
      <c r="LSW23"/>
      <c r="LSX23"/>
      <c r="LSY23"/>
      <c r="LSZ23"/>
      <c r="LTA23"/>
      <c r="LTB23"/>
      <c r="LTC23"/>
      <c r="LTD23"/>
      <c r="LTE23"/>
      <c r="LTF23"/>
      <c r="LTG23"/>
      <c r="LTH23"/>
      <c r="LTI23"/>
      <c r="LTJ23"/>
      <c r="LTK23"/>
      <c r="LTL23"/>
      <c r="LTM23"/>
      <c r="LTN23"/>
      <c r="LTO23"/>
      <c r="LTP23"/>
      <c r="LTQ23"/>
      <c r="LTR23"/>
      <c r="LTS23"/>
      <c r="LTT23"/>
      <c r="LTU23"/>
      <c r="LTV23"/>
      <c r="LTW23"/>
      <c r="LTX23"/>
      <c r="LTY23"/>
      <c r="LTZ23"/>
      <c r="LUA23"/>
      <c r="LUB23"/>
      <c r="LUC23"/>
      <c r="LUD23"/>
      <c r="LUE23"/>
      <c r="LUF23"/>
      <c r="LUG23"/>
      <c r="LUH23"/>
      <c r="LUI23"/>
      <c r="LUJ23"/>
      <c r="LUK23"/>
      <c r="LUL23"/>
      <c r="LUM23"/>
      <c r="LUN23"/>
      <c r="LUO23"/>
      <c r="LUP23"/>
      <c r="LUQ23"/>
      <c r="LUR23"/>
      <c r="LUS23"/>
      <c r="LUT23"/>
      <c r="LUU23"/>
      <c r="LUV23"/>
      <c r="LUW23"/>
      <c r="LUX23"/>
      <c r="LUY23"/>
      <c r="LUZ23"/>
      <c r="LVA23"/>
      <c r="LVB23"/>
      <c r="LVC23"/>
      <c r="LVD23"/>
      <c r="LVE23"/>
      <c r="LVF23"/>
      <c r="LVG23"/>
      <c r="LVH23"/>
      <c r="LVI23"/>
      <c r="LVJ23"/>
      <c r="LVK23"/>
      <c r="LVL23"/>
      <c r="LVM23"/>
      <c r="LVN23"/>
      <c r="LVO23"/>
      <c r="LVP23"/>
      <c r="LVQ23"/>
      <c r="LVR23"/>
      <c r="LVS23"/>
      <c r="LVT23"/>
      <c r="LVU23"/>
      <c r="LVV23"/>
      <c r="LVW23"/>
      <c r="LVX23"/>
      <c r="LVY23"/>
      <c r="LVZ23"/>
      <c r="LWA23"/>
      <c r="LWB23"/>
      <c r="LWC23"/>
      <c r="LWD23"/>
      <c r="LWE23"/>
      <c r="LWF23"/>
      <c r="LWG23"/>
      <c r="LWH23"/>
      <c r="LWI23"/>
      <c r="LWJ23"/>
      <c r="LWK23"/>
      <c r="LWL23"/>
      <c r="LWM23"/>
      <c r="LWN23"/>
      <c r="LWO23"/>
      <c r="LWP23"/>
      <c r="LWQ23"/>
      <c r="LWR23"/>
      <c r="LWS23"/>
      <c r="LWT23"/>
      <c r="LWU23"/>
      <c r="LWV23"/>
      <c r="LWW23"/>
      <c r="LWX23"/>
      <c r="LWY23"/>
      <c r="LWZ23"/>
      <c r="LXA23"/>
      <c r="LXB23"/>
      <c r="LXC23"/>
      <c r="LXD23"/>
      <c r="LXE23"/>
      <c r="LXF23"/>
      <c r="LXG23"/>
      <c r="LXH23"/>
      <c r="LXI23"/>
      <c r="LXJ23"/>
      <c r="LXK23"/>
      <c r="LXL23"/>
      <c r="LXM23"/>
      <c r="LXN23"/>
      <c r="LXO23"/>
      <c r="LXP23"/>
      <c r="LXQ23"/>
      <c r="LXR23"/>
      <c r="LXS23"/>
      <c r="LXT23"/>
      <c r="LXU23"/>
      <c r="LXV23"/>
      <c r="LXW23"/>
      <c r="LXX23"/>
      <c r="LXY23"/>
      <c r="LXZ23"/>
      <c r="LYA23"/>
      <c r="LYB23"/>
      <c r="LYC23"/>
      <c r="LYD23"/>
      <c r="LYE23"/>
      <c r="LYF23"/>
      <c r="LYG23"/>
      <c r="LYH23"/>
      <c r="LYI23"/>
      <c r="LYJ23"/>
      <c r="LYK23"/>
      <c r="LYL23"/>
      <c r="LYM23"/>
      <c r="LYN23"/>
      <c r="LYO23"/>
      <c r="LYP23"/>
      <c r="LYQ23"/>
      <c r="LYR23"/>
      <c r="LYS23"/>
      <c r="LYT23"/>
      <c r="LYU23"/>
      <c r="LYV23"/>
      <c r="LYW23"/>
      <c r="LYX23"/>
      <c r="LYY23"/>
      <c r="LYZ23"/>
      <c r="LZA23"/>
      <c r="LZB23"/>
      <c r="LZC23"/>
      <c r="LZD23"/>
      <c r="LZE23"/>
      <c r="LZF23"/>
      <c r="LZG23"/>
      <c r="LZH23"/>
      <c r="LZI23"/>
      <c r="LZJ23"/>
      <c r="LZK23"/>
      <c r="LZL23"/>
      <c r="LZM23"/>
      <c r="LZN23"/>
      <c r="LZO23"/>
      <c r="LZP23"/>
      <c r="LZQ23"/>
      <c r="LZR23"/>
      <c r="LZS23"/>
      <c r="LZT23"/>
      <c r="LZU23"/>
      <c r="LZV23"/>
      <c r="LZW23"/>
      <c r="LZX23"/>
      <c r="LZY23"/>
      <c r="LZZ23"/>
      <c r="MAA23"/>
      <c r="MAB23"/>
      <c r="MAC23"/>
      <c r="MAD23"/>
      <c r="MAE23"/>
      <c r="MAF23"/>
      <c r="MAG23"/>
      <c r="MAH23"/>
      <c r="MAI23"/>
      <c r="MAJ23"/>
      <c r="MAK23"/>
      <c r="MAL23"/>
      <c r="MAM23"/>
      <c r="MAN23"/>
      <c r="MAO23"/>
      <c r="MAP23"/>
      <c r="MAQ23"/>
      <c r="MAR23"/>
      <c r="MAS23"/>
      <c r="MAT23"/>
      <c r="MAU23"/>
      <c r="MAV23"/>
      <c r="MAW23"/>
      <c r="MAX23"/>
      <c r="MAY23"/>
      <c r="MAZ23"/>
      <c r="MBA23"/>
      <c r="MBB23"/>
      <c r="MBC23"/>
      <c r="MBD23"/>
      <c r="MBE23"/>
      <c r="MBF23"/>
      <c r="MBG23"/>
      <c r="MBH23"/>
      <c r="MBI23"/>
      <c r="MBJ23"/>
      <c r="MBK23"/>
      <c r="MBL23"/>
      <c r="MBM23"/>
      <c r="MBN23"/>
      <c r="MBO23"/>
      <c r="MBP23"/>
      <c r="MBQ23"/>
      <c r="MBR23"/>
      <c r="MBS23"/>
      <c r="MBT23"/>
      <c r="MBU23"/>
      <c r="MBV23"/>
      <c r="MBW23"/>
      <c r="MBX23"/>
      <c r="MBY23"/>
      <c r="MBZ23"/>
      <c r="MCA23"/>
      <c r="MCB23"/>
      <c r="MCC23"/>
      <c r="MCD23"/>
      <c r="MCE23"/>
      <c r="MCF23"/>
      <c r="MCG23"/>
      <c r="MCH23"/>
      <c r="MCI23"/>
      <c r="MCJ23"/>
      <c r="MCK23"/>
      <c r="MCL23"/>
      <c r="MCM23"/>
      <c r="MCN23"/>
      <c r="MCO23"/>
      <c r="MCP23"/>
      <c r="MCQ23"/>
      <c r="MCR23"/>
      <c r="MCS23"/>
      <c r="MCT23"/>
      <c r="MCU23"/>
      <c r="MCV23"/>
      <c r="MCW23"/>
      <c r="MCX23"/>
      <c r="MCY23"/>
      <c r="MCZ23"/>
      <c r="MDA23"/>
      <c r="MDB23"/>
      <c r="MDC23"/>
      <c r="MDD23"/>
      <c r="MDE23"/>
      <c r="MDF23"/>
      <c r="MDG23"/>
      <c r="MDH23"/>
      <c r="MDI23"/>
      <c r="MDJ23"/>
      <c r="MDK23"/>
      <c r="MDL23"/>
      <c r="MDM23"/>
      <c r="MDN23"/>
      <c r="MDO23"/>
      <c r="MDP23"/>
      <c r="MDQ23"/>
      <c r="MDR23"/>
      <c r="MDS23"/>
      <c r="MDT23"/>
      <c r="MDU23"/>
      <c r="MDV23"/>
      <c r="MDW23"/>
      <c r="MDX23"/>
      <c r="MDY23"/>
      <c r="MDZ23"/>
      <c r="MEA23"/>
      <c r="MEB23"/>
      <c r="MEC23"/>
      <c r="MED23"/>
      <c r="MEE23"/>
      <c r="MEF23"/>
      <c r="MEG23"/>
      <c r="MEH23"/>
      <c r="MEI23"/>
      <c r="MEJ23"/>
      <c r="MEK23"/>
      <c r="MEL23"/>
      <c r="MEM23"/>
      <c r="MEN23"/>
      <c r="MEO23"/>
      <c r="MEP23"/>
      <c r="MEQ23"/>
      <c r="MER23"/>
      <c r="MES23"/>
      <c r="MET23"/>
      <c r="MEU23"/>
      <c r="MEV23"/>
      <c r="MEW23"/>
      <c r="MEX23"/>
      <c r="MEY23"/>
      <c r="MEZ23"/>
      <c r="MFA23"/>
      <c r="MFB23"/>
      <c r="MFC23"/>
      <c r="MFD23"/>
      <c r="MFE23"/>
      <c r="MFF23"/>
      <c r="MFG23"/>
      <c r="MFH23"/>
      <c r="MFI23"/>
      <c r="MFJ23"/>
      <c r="MFK23"/>
      <c r="MFL23"/>
      <c r="MFM23"/>
      <c r="MFN23"/>
      <c r="MFO23"/>
      <c r="MFP23"/>
      <c r="MFQ23"/>
      <c r="MFR23"/>
      <c r="MFS23"/>
      <c r="MFT23"/>
      <c r="MFU23"/>
      <c r="MFV23"/>
      <c r="MFW23"/>
      <c r="MFX23"/>
      <c r="MFY23"/>
      <c r="MFZ23"/>
      <c r="MGA23"/>
      <c r="MGB23"/>
      <c r="MGC23"/>
      <c r="MGD23"/>
      <c r="MGE23"/>
      <c r="MGF23"/>
      <c r="MGG23"/>
      <c r="MGH23"/>
      <c r="MGI23"/>
      <c r="MGJ23"/>
      <c r="MGK23"/>
      <c r="MGL23"/>
      <c r="MGM23"/>
      <c r="MGN23"/>
      <c r="MGO23"/>
      <c r="MGP23"/>
      <c r="MGQ23"/>
      <c r="MGR23"/>
      <c r="MGS23"/>
      <c r="MGT23"/>
      <c r="MGU23"/>
      <c r="MGV23"/>
      <c r="MGW23"/>
      <c r="MGX23"/>
      <c r="MGY23"/>
      <c r="MGZ23"/>
      <c r="MHA23"/>
      <c r="MHB23"/>
      <c r="MHC23"/>
      <c r="MHD23"/>
      <c r="MHE23"/>
      <c r="MHF23"/>
      <c r="MHG23"/>
      <c r="MHH23"/>
      <c r="MHI23"/>
      <c r="MHJ23"/>
      <c r="MHK23"/>
      <c r="MHL23"/>
      <c r="MHM23"/>
      <c r="MHN23"/>
      <c r="MHO23"/>
      <c r="MHP23"/>
      <c r="MHQ23"/>
      <c r="MHR23"/>
      <c r="MHS23"/>
      <c r="MHT23"/>
      <c r="MHU23"/>
      <c r="MHV23"/>
      <c r="MHW23"/>
      <c r="MHX23"/>
      <c r="MHY23"/>
      <c r="MHZ23"/>
      <c r="MIA23"/>
      <c r="MIB23"/>
      <c r="MIC23"/>
      <c r="MID23"/>
      <c r="MIE23"/>
      <c r="MIF23"/>
      <c r="MIG23"/>
      <c r="MIH23"/>
      <c r="MII23"/>
      <c r="MIJ23"/>
      <c r="MIK23"/>
      <c r="MIL23"/>
      <c r="MIM23"/>
      <c r="MIN23"/>
      <c r="MIO23"/>
      <c r="MIP23"/>
      <c r="MIQ23"/>
      <c r="MIR23"/>
      <c r="MIS23"/>
      <c r="MIT23"/>
      <c r="MIU23"/>
      <c r="MIV23"/>
      <c r="MIW23"/>
      <c r="MIX23"/>
      <c r="MIY23"/>
      <c r="MIZ23"/>
      <c r="MJA23"/>
      <c r="MJB23"/>
      <c r="MJC23"/>
      <c r="MJD23"/>
      <c r="MJE23"/>
      <c r="MJF23"/>
      <c r="MJG23"/>
      <c r="MJH23"/>
      <c r="MJI23"/>
      <c r="MJJ23"/>
      <c r="MJK23"/>
      <c r="MJL23"/>
      <c r="MJM23"/>
      <c r="MJN23"/>
      <c r="MJO23"/>
      <c r="MJP23"/>
      <c r="MJQ23"/>
      <c r="MJR23"/>
      <c r="MJS23"/>
      <c r="MJT23"/>
      <c r="MJU23"/>
      <c r="MJV23"/>
      <c r="MJW23"/>
      <c r="MJX23"/>
      <c r="MJY23"/>
      <c r="MJZ23"/>
      <c r="MKA23"/>
      <c r="MKB23"/>
      <c r="MKC23"/>
      <c r="MKD23"/>
      <c r="MKE23"/>
      <c r="MKF23"/>
      <c r="MKG23"/>
      <c r="MKH23"/>
      <c r="MKI23"/>
      <c r="MKJ23"/>
      <c r="MKK23"/>
      <c r="MKL23"/>
      <c r="MKM23"/>
      <c r="MKN23"/>
      <c r="MKO23"/>
      <c r="MKP23"/>
      <c r="MKQ23"/>
      <c r="MKR23"/>
      <c r="MKS23"/>
      <c r="MKT23"/>
      <c r="MKU23"/>
      <c r="MKV23"/>
      <c r="MKW23"/>
      <c r="MKX23"/>
      <c r="MKY23"/>
      <c r="MKZ23"/>
      <c r="MLA23"/>
      <c r="MLB23"/>
      <c r="MLC23"/>
      <c r="MLD23"/>
      <c r="MLE23"/>
      <c r="MLF23"/>
      <c r="MLG23"/>
      <c r="MLH23"/>
      <c r="MLI23"/>
      <c r="MLJ23"/>
      <c r="MLK23"/>
      <c r="MLL23"/>
      <c r="MLM23"/>
      <c r="MLN23"/>
      <c r="MLO23"/>
      <c r="MLP23"/>
      <c r="MLQ23"/>
      <c r="MLR23"/>
      <c r="MLS23"/>
      <c r="MLT23"/>
      <c r="MLU23"/>
      <c r="MLV23"/>
      <c r="MLW23"/>
      <c r="MLX23"/>
      <c r="MLY23"/>
      <c r="MLZ23"/>
      <c r="MMA23"/>
      <c r="MMB23"/>
      <c r="MMC23"/>
      <c r="MMD23"/>
      <c r="MME23"/>
      <c r="MMF23"/>
      <c r="MMG23"/>
      <c r="MMH23"/>
      <c r="MMI23"/>
      <c r="MMJ23"/>
      <c r="MMK23"/>
      <c r="MML23"/>
      <c r="MMM23"/>
      <c r="MMN23"/>
      <c r="MMO23"/>
      <c r="MMP23"/>
      <c r="MMQ23"/>
      <c r="MMR23"/>
      <c r="MMS23"/>
      <c r="MMT23"/>
      <c r="MMU23"/>
      <c r="MMV23"/>
      <c r="MMW23"/>
      <c r="MMX23"/>
      <c r="MMY23"/>
      <c r="MMZ23"/>
      <c r="MNA23"/>
      <c r="MNB23"/>
      <c r="MNC23"/>
      <c r="MND23"/>
      <c r="MNE23"/>
      <c r="MNF23"/>
      <c r="MNG23"/>
      <c r="MNH23"/>
      <c r="MNI23"/>
      <c r="MNJ23"/>
      <c r="MNK23"/>
      <c r="MNL23"/>
      <c r="MNM23"/>
      <c r="MNN23"/>
      <c r="MNO23"/>
      <c r="MNP23"/>
      <c r="MNQ23"/>
      <c r="MNR23"/>
      <c r="MNS23"/>
      <c r="MNT23"/>
      <c r="MNU23"/>
      <c r="MNV23"/>
      <c r="MNW23"/>
      <c r="MNX23"/>
      <c r="MNY23"/>
      <c r="MNZ23"/>
      <c r="MOA23"/>
      <c r="MOB23"/>
      <c r="MOC23"/>
      <c r="MOD23"/>
      <c r="MOE23"/>
      <c r="MOF23"/>
      <c r="MOG23"/>
      <c r="MOH23"/>
      <c r="MOI23"/>
      <c r="MOJ23"/>
      <c r="MOK23"/>
      <c r="MOL23"/>
      <c r="MOM23"/>
      <c r="MON23"/>
      <c r="MOO23"/>
      <c r="MOP23"/>
      <c r="MOQ23"/>
      <c r="MOR23"/>
      <c r="MOS23"/>
      <c r="MOT23"/>
      <c r="MOU23"/>
      <c r="MOV23"/>
      <c r="MOW23"/>
      <c r="MOX23"/>
      <c r="MOY23"/>
      <c r="MOZ23"/>
      <c r="MPA23"/>
      <c r="MPB23"/>
      <c r="MPC23"/>
      <c r="MPD23"/>
      <c r="MPE23"/>
      <c r="MPF23"/>
      <c r="MPG23"/>
      <c r="MPH23"/>
      <c r="MPI23"/>
      <c r="MPJ23"/>
      <c r="MPK23"/>
      <c r="MPL23"/>
      <c r="MPM23"/>
      <c r="MPN23"/>
      <c r="MPO23"/>
      <c r="MPP23"/>
      <c r="MPQ23"/>
      <c r="MPR23"/>
      <c r="MPS23"/>
      <c r="MPT23"/>
      <c r="MPU23"/>
      <c r="MPV23"/>
      <c r="MPW23"/>
      <c r="MPX23"/>
      <c r="MPY23"/>
      <c r="MPZ23"/>
      <c r="MQA23"/>
      <c r="MQB23"/>
      <c r="MQC23"/>
      <c r="MQD23"/>
      <c r="MQE23"/>
      <c r="MQF23"/>
      <c r="MQG23"/>
      <c r="MQH23"/>
      <c r="MQI23"/>
      <c r="MQJ23"/>
      <c r="MQK23"/>
      <c r="MQL23"/>
      <c r="MQM23"/>
      <c r="MQN23"/>
      <c r="MQO23"/>
      <c r="MQP23"/>
      <c r="MQQ23"/>
      <c r="MQR23"/>
      <c r="MQS23"/>
      <c r="MQT23"/>
      <c r="MQU23"/>
      <c r="MQV23"/>
      <c r="MQW23"/>
      <c r="MQX23"/>
      <c r="MQY23"/>
      <c r="MQZ23"/>
      <c r="MRA23"/>
      <c r="MRB23"/>
      <c r="MRC23"/>
      <c r="MRD23"/>
      <c r="MRE23"/>
      <c r="MRF23"/>
      <c r="MRG23"/>
      <c r="MRH23"/>
      <c r="MRI23"/>
      <c r="MRJ23"/>
      <c r="MRK23"/>
      <c r="MRL23"/>
      <c r="MRM23"/>
      <c r="MRN23"/>
      <c r="MRO23"/>
      <c r="MRP23"/>
      <c r="MRQ23"/>
      <c r="MRR23"/>
      <c r="MRS23"/>
      <c r="MRT23"/>
      <c r="MRU23"/>
      <c r="MRV23"/>
      <c r="MRW23"/>
      <c r="MRX23"/>
      <c r="MRY23"/>
      <c r="MRZ23"/>
      <c r="MSA23"/>
      <c r="MSB23"/>
      <c r="MSC23"/>
      <c r="MSD23"/>
      <c r="MSE23"/>
      <c r="MSF23"/>
      <c r="MSG23"/>
      <c r="MSH23"/>
      <c r="MSI23"/>
      <c r="MSJ23"/>
      <c r="MSK23"/>
      <c r="MSL23"/>
      <c r="MSM23"/>
      <c r="MSN23"/>
      <c r="MSO23"/>
      <c r="MSP23"/>
      <c r="MSQ23"/>
      <c r="MSR23"/>
      <c r="MSS23"/>
      <c r="MST23"/>
      <c r="MSU23"/>
      <c r="MSV23"/>
      <c r="MSW23"/>
      <c r="MSX23"/>
      <c r="MSY23"/>
      <c r="MSZ23"/>
      <c r="MTA23"/>
      <c r="MTB23"/>
      <c r="MTC23"/>
      <c r="MTD23"/>
      <c r="MTE23"/>
      <c r="MTF23"/>
      <c r="MTG23"/>
      <c r="MTH23"/>
      <c r="MTI23"/>
      <c r="MTJ23"/>
      <c r="MTK23"/>
      <c r="MTL23"/>
      <c r="MTM23"/>
      <c r="MTN23"/>
      <c r="MTO23"/>
      <c r="MTP23"/>
      <c r="MTQ23"/>
      <c r="MTR23"/>
      <c r="MTS23"/>
      <c r="MTT23"/>
      <c r="MTU23"/>
      <c r="MTV23"/>
      <c r="MTW23"/>
      <c r="MTX23"/>
      <c r="MTY23"/>
      <c r="MTZ23"/>
      <c r="MUA23"/>
      <c r="MUB23"/>
      <c r="MUC23"/>
      <c r="MUD23"/>
      <c r="MUE23"/>
      <c r="MUF23"/>
      <c r="MUG23"/>
      <c r="MUH23"/>
      <c r="MUI23"/>
      <c r="MUJ23"/>
      <c r="MUK23"/>
      <c r="MUL23"/>
      <c r="MUM23"/>
      <c r="MUN23"/>
      <c r="MUO23"/>
      <c r="MUP23"/>
      <c r="MUQ23"/>
      <c r="MUR23"/>
      <c r="MUS23"/>
      <c r="MUT23"/>
      <c r="MUU23"/>
      <c r="MUV23"/>
      <c r="MUW23"/>
      <c r="MUX23"/>
      <c r="MUY23"/>
      <c r="MUZ23"/>
      <c r="MVA23"/>
      <c r="MVB23"/>
      <c r="MVC23"/>
      <c r="MVD23"/>
      <c r="MVE23"/>
      <c r="MVF23"/>
      <c r="MVG23"/>
      <c r="MVH23"/>
      <c r="MVI23"/>
      <c r="MVJ23"/>
      <c r="MVK23"/>
      <c r="MVL23"/>
      <c r="MVM23"/>
      <c r="MVN23"/>
      <c r="MVO23"/>
      <c r="MVP23"/>
      <c r="MVQ23"/>
      <c r="MVR23"/>
      <c r="MVS23"/>
      <c r="MVT23"/>
      <c r="MVU23"/>
      <c r="MVV23"/>
      <c r="MVW23"/>
      <c r="MVX23"/>
      <c r="MVY23"/>
      <c r="MVZ23"/>
      <c r="MWA23"/>
      <c r="MWB23"/>
      <c r="MWC23"/>
      <c r="MWD23"/>
      <c r="MWE23"/>
      <c r="MWF23"/>
      <c r="MWG23"/>
      <c r="MWH23"/>
      <c r="MWI23"/>
      <c r="MWJ23"/>
      <c r="MWK23"/>
      <c r="MWL23"/>
      <c r="MWM23"/>
      <c r="MWN23"/>
      <c r="MWO23"/>
      <c r="MWP23"/>
      <c r="MWQ23"/>
      <c r="MWR23"/>
      <c r="MWS23"/>
      <c r="MWT23"/>
      <c r="MWU23"/>
      <c r="MWV23"/>
      <c r="MWW23"/>
      <c r="MWX23"/>
      <c r="MWY23"/>
      <c r="MWZ23"/>
      <c r="MXA23"/>
      <c r="MXB23"/>
      <c r="MXC23"/>
      <c r="MXD23"/>
      <c r="MXE23"/>
      <c r="MXF23"/>
      <c r="MXG23"/>
      <c r="MXH23"/>
      <c r="MXI23"/>
      <c r="MXJ23"/>
      <c r="MXK23"/>
      <c r="MXL23"/>
      <c r="MXM23"/>
      <c r="MXN23"/>
      <c r="MXO23"/>
      <c r="MXP23"/>
      <c r="MXQ23"/>
      <c r="MXR23"/>
      <c r="MXS23"/>
      <c r="MXT23"/>
      <c r="MXU23"/>
      <c r="MXV23"/>
      <c r="MXW23"/>
      <c r="MXX23"/>
      <c r="MXY23"/>
      <c r="MXZ23"/>
      <c r="MYA23"/>
      <c r="MYB23"/>
      <c r="MYC23"/>
      <c r="MYD23"/>
      <c r="MYE23"/>
      <c r="MYF23"/>
      <c r="MYG23"/>
      <c r="MYH23"/>
      <c r="MYI23"/>
      <c r="MYJ23"/>
      <c r="MYK23"/>
      <c r="MYL23"/>
      <c r="MYM23"/>
      <c r="MYN23"/>
      <c r="MYO23"/>
      <c r="MYP23"/>
      <c r="MYQ23"/>
      <c r="MYR23"/>
      <c r="MYS23"/>
      <c r="MYT23"/>
      <c r="MYU23"/>
      <c r="MYV23"/>
      <c r="MYW23"/>
      <c r="MYX23"/>
      <c r="MYY23"/>
      <c r="MYZ23"/>
      <c r="MZA23"/>
      <c r="MZB23"/>
      <c r="MZC23"/>
      <c r="MZD23"/>
      <c r="MZE23"/>
      <c r="MZF23"/>
      <c r="MZG23"/>
      <c r="MZH23"/>
      <c r="MZI23"/>
      <c r="MZJ23"/>
      <c r="MZK23"/>
      <c r="MZL23"/>
      <c r="MZM23"/>
      <c r="MZN23"/>
      <c r="MZO23"/>
      <c r="MZP23"/>
      <c r="MZQ23"/>
      <c r="MZR23"/>
      <c r="MZS23"/>
      <c r="MZT23"/>
      <c r="MZU23"/>
      <c r="MZV23"/>
      <c r="MZW23"/>
      <c r="MZX23"/>
      <c r="MZY23"/>
      <c r="MZZ23"/>
      <c r="NAA23"/>
      <c r="NAB23"/>
      <c r="NAC23"/>
      <c r="NAD23"/>
      <c r="NAE23"/>
      <c r="NAF23"/>
      <c r="NAG23"/>
      <c r="NAH23"/>
      <c r="NAI23"/>
      <c r="NAJ23"/>
      <c r="NAK23"/>
      <c r="NAL23"/>
      <c r="NAM23"/>
      <c r="NAN23"/>
      <c r="NAO23"/>
      <c r="NAP23"/>
      <c r="NAQ23"/>
      <c r="NAR23"/>
      <c r="NAS23"/>
      <c r="NAT23"/>
      <c r="NAU23"/>
      <c r="NAV23"/>
      <c r="NAW23"/>
      <c r="NAX23"/>
      <c r="NAY23"/>
      <c r="NAZ23"/>
      <c r="NBA23"/>
      <c r="NBB23"/>
      <c r="NBC23"/>
      <c r="NBD23"/>
      <c r="NBE23"/>
      <c r="NBF23"/>
      <c r="NBG23"/>
      <c r="NBH23"/>
      <c r="NBI23"/>
      <c r="NBJ23"/>
      <c r="NBK23"/>
      <c r="NBL23"/>
      <c r="NBM23"/>
      <c r="NBN23"/>
      <c r="NBO23"/>
      <c r="NBP23"/>
      <c r="NBQ23"/>
      <c r="NBR23"/>
      <c r="NBS23"/>
      <c r="NBT23"/>
      <c r="NBU23"/>
      <c r="NBV23"/>
      <c r="NBW23"/>
      <c r="NBX23"/>
      <c r="NBY23"/>
      <c r="NBZ23"/>
      <c r="NCA23"/>
      <c r="NCB23"/>
      <c r="NCC23"/>
      <c r="NCD23"/>
      <c r="NCE23"/>
      <c r="NCF23"/>
      <c r="NCG23"/>
      <c r="NCH23"/>
      <c r="NCI23"/>
      <c r="NCJ23"/>
      <c r="NCK23"/>
      <c r="NCL23"/>
      <c r="NCM23"/>
      <c r="NCN23"/>
      <c r="NCO23"/>
      <c r="NCP23"/>
      <c r="NCQ23"/>
      <c r="NCR23"/>
      <c r="NCS23"/>
      <c r="NCT23"/>
      <c r="NCU23"/>
      <c r="NCV23"/>
      <c r="NCW23"/>
      <c r="NCX23"/>
      <c r="NCY23"/>
      <c r="NCZ23"/>
      <c r="NDA23"/>
      <c r="NDB23"/>
      <c r="NDC23"/>
      <c r="NDD23"/>
      <c r="NDE23"/>
      <c r="NDF23"/>
      <c r="NDG23"/>
      <c r="NDH23"/>
      <c r="NDI23"/>
      <c r="NDJ23"/>
      <c r="NDK23"/>
      <c r="NDL23"/>
      <c r="NDM23"/>
      <c r="NDN23"/>
      <c r="NDO23"/>
      <c r="NDP23"/>
      <c r="NDQ23"/>
      <c r="NDR23"/>
      <c r="NDS23"/>
      <c r="NDT23"/>
      <c r="NDU23"/>
      <c r="NDV23"/>
      <c r="NDW23"/>
      <c r="NDX23"/>
      <c r="NDY23"/>
      <c r="NDZ23"/>
      <c r="NEA23"/>
      <c r="NEB23"/>
      <c r="NEC23"/>
      <c r="NED23"/>
      <c r="NEE23"/>
      <c r="NEF23"/>
      <c r="NEG23"/>
      <c r="NEH23"/>
      <c r="NEI23"/>
      <c r="NEJ23"/>
      <c r="NEK23"/>
      <c r="NEL23"/>
      <c r="NEM23"/>
      <c r="NEN23"/>
      <c r="NEO23"/>
      <c r="NEP23"/>
      <c r="NEQ23"/>
      <c r="NER23"/>
      <c r="NES23"/>
      <c r="NET23"/>
      <c r="NEU23"/>
      <c r="NEV23"/>
      <c r="NEW23"/>
      <c r="NEX23"/>
      <c r="NEY23"/>
      <c r="NEZ23"/>
      <c r="NFA23"/>
      <c r="NFB23"/>
      <c r="NFC23"/>
      <c r="NFD23"/>
      <c r="NFE23"/>
      <c r="NFF23"/>
      <c r="NFG23"/>
      <c r="NFH23"/>
      <c r="NFI23"/>
      <c r="NFJ23"/>
      <c r="NFK23"/>
      <c r="NFL23"/>
      <c r="NFM23"/>
      <c r="NFN23"/>
      <c r="NFO23"/>
      <c r="NFP23"/>
      <c r="NFQ23"/>
      <c r="NFR23"/>
      <c r="NFS23"/>
      <c r="NFT23"/>
      <c r="NFU23"/>
      <c r="NFV23"/>
      <c r="NFW23"/>
      <c r="NFX23"/>
      <c r="NFY23"/>
      <c r="NFZ23"/>
      <c r="NGA23"/>
      <c r="NGB23"/>
      <c r="NGC23"/>
      <c r="NGD23"/>
      <c r="NGE23"/>
      <c r="NGF23"/>
      <c r="NGG23"/>
      <c r="NGH23"/>
      <c r="NGI23"/>
      <c r="NGJ23"/>
      <c r="NGK23"/>
      <c r="NGL23"/>
      <c r="NGM23"/>
      <c r="NGN23"/>
      <c r="NGO23"/>
      <c r="NGP23"/>
      <c r="NGQ23"/>
      <c r="NGR23"/>
      <c r="NGS23"/>
      <c r="NGT23"/>
      <c r="NGU23"/>
      <c r="NGV23"/>
      <c r="NGW23"/>
      <c r="NGX23"/>
      <c r="NGY23"/>
      <c r="NGZ23"/>
      <c r="NHA23"/>
      <c r="NHB23"/>
      <c r="NHC23"/>
      <c r="NHD23"/>
      <c r="NHE23"/>
      <c r="NHF23"/>
      <c r="NHG23"/>
      <c r="NHH23"/>
      <c r="NHI23"/>
      <c r="NHJ23"/>
      <c r="NHK23"/>
      <c r="NHL23"/>
      <c r="NHM23"/>
      <c r="NHN23"/>
      <c r="NHO23"/>
      <c r="NHP23"/>
      <c r="NHQ23"/>
      <c r="NHR23"/>
      <c r="NHS23"/>
      <c r="NHT23"/>
      <c r="NHU23"/>
      <c r="NHV23"/>
      <c r="NHW23"/>
      <c r="NHX23"/>
      <c r="NHY23"/>
      <c r="NHZ23"/>
      <c r="NIA23"/>
      <c r="NIB23"/>
      <c r="NIC23"/>
      <c r="NID23"/>
      <c r="NIE23"/>
      <c r="NIF23"/>
      <c r="NIG23"/>
      <c r="NIH23"/>
      <c r="NII23"/>
      <c r="NIJ23"/>
      <c r="NIK23"/>
      <c r="NIL23"/>
      <c r="NIM23"/>
      <c r="NIN23"/>
      <c r="NIO23"/>
      <c r="NIP23"/>
      <c r="NIQ23"/>
      <c r="NIR23"/>
      <c r="NIS23"/>
      <c r="NIT23"/>
      <c r="NIU23"/>
      <c r="NIV23"/>
      <c r="NIW23"/>
      <c r="NIX23"/>
      <c r="NIY23"/>
      <c r="NIZ23"/>
      <c r="NJA23"/>
      <c r="NJB23"/>
      <c r="NJC23"/>
      <c r="NJD23"/>
      <c r="NJE23"/>
      <c r="NJF23"/>
      <c r="NJG23"/>
      <c r="NJH23"/>
      <c r="NJI23"/>
      <c r="NJJ23"/>
      <c r="NJK23"/>
      <c r="NJL23"/>
      <c r="NJM23"/>
      <c r="NJN23"/>
      <c r="NJO23"/>
      <c r="NJP23"/>
      <c r="NJQ23"/>
      <c r="NJR23"/>
      <c r="NJS23"/>
      <c r="NJT23"/>
      <c r="NJU23"/>
      <c r="NJV23"/>
      <c r="NJW23"/>
      <c r="NJX23"/>
      <c r="NJY23"/>
      <c r="NJZ23"/>
      <c r="NKA23"/>
      <c r="NKB23"/>
      <c r="NKC23"/>
      <c r="NKD23"/>
      <c r="NKE23"/>
      <c r="NKF23"/>
      <c r="NKG23"/>
      <c r="NKH23"/>
      <c r="NKI23"/>
      <c r="NKJ23"/>
      <c r="NKK23"/>
      <c r="NKL23"/>
      <c r="NKM23"/>
      <c r="NKN23"/>
      <c r="NKO23"/>
      <c r="NKP23"/>
      <c r="NKQ23"/>
      <c r="NKR23"/>
      <c r="NKS23"/>
      <c r="NKT23"/>
      <c r="NKU23"/>
      <c r="NKV23"/>
      <c r="NKW23"/>
      <c r="NKX23"/>
      <c r="NKY23"/>
      <c r="NKZ23"/>
      <c r="NLA23"/>
      <c r="NLB23"/>
      <c r="NLC23"/>
      <c r="NLD23"/>
      <c r="NLE23"/>
      <c r="NLF23"/>
      <c r="NLG23"/>
      <c r="NLH23"/>
      <c r="NLI23"/>
      <c r="NLJ23"/>
      <c r="NLK23"/>
      <c r="NLL23"/>
      <c r="NLM23"/>
      <c r="NLN23"/>
      <c r="NLO23"/>
      <c r="NLP23"/>
      <c r="NLQ23"/>
      <c r="NLR23"/>
      <c r="NLS23"/>
      <c r="NLT23"/>
      <c r="NLU23"/>
      <c r="NLV23"/>
      <c r="NLW23"/>
      <c r="NLX23"/>
      <c r="NLY23"/>
      <c r="NLZ23"/>
      <c r="NMA23"/>
      <c r="NMB23"/>
      <c r="NMC23"/>
      <c r="NMD23"/>
      <c r="NME23"/>
      <c r="NMF23"/>
      <c r="NMG23"/>
      <c r="NMH23"/>
      <c r="NMI23"/>
      <c r="NMJ23"/>
      <c r="NMK23"/>
      <c r="NML23"/>
      <c r="NMM23"/>
      <c r="NMN23"/>
      <c r="NMO23"/>
      <c r="NMP23"/>
      <c r="NMQ23"/>
      <c r="NMR23"/>
      <c r="NMS23"/>
      <c r="NMT23"/>
      <c r="NMU23"/>
      <c r="NMV23"/>
      <c r="NMW23"/>
      <c r="NMX23"/>
      <c r="NMY23"/>
      <c r="NMZ23"/>
      <c r="NNA23"/>
      <c r="NNB23"/>
      <c r="NNC23"/>
      <c r="NND23"/>
      <c r="NNE23"/>
      <c r="NNF23"/>
      <c r="NNG23"/>
      <c r="NNH23"/>
      <c r="NNI23"/>
      <c r="NNJ23"/>
      <c r="NNK23"/>
      <c r="NNL23"/>
      <c r="NNM23"/>
      <c r="NNN23"/>
      <c r="NNO23"/>
      <c r="NNP23"/>
      <c r="NNQ23"/>
      <c r="NNR23"/>
      <c r="NNS23"/>
      <c r="NNT23"/>
      <c r="NNU23"/>
      <c r="NNV23"/>
      <c r="NNW23"/>
      <c r="NNX23"/>
      <c r="NNY23"/>
      <c r="NNZ23"/>
      <c r="NOA23"/>
      <c r="NOB23"/>
      <c r="NOC23"/>
      <c r="NOD23"/>
      <c r="NOE23"/>
      <c r="NOF23"/>
      <c r="NOG23"/>
      <c r="NOH23"/>
      <c r="NOI23"/>
      <c r="NOJ23"/>
      <c r="NOK23"/>
      <c r="NOL23"/>
      <c r="NOM23"/>
      <c r="NON23"/>
      <c r="NOO23"/>
      <c r="NOP23"/>
      <c r="NOQ23"/>
      <c r="NOR23"/>
      <c r="NOS23"/>
      <c r="NOT23"/>
      <c r="NOU23"/>
      <c r="NOV23"/>
      <c r="NOW23"/>
      <c r="NOX23"/>
      <c r="NOY23"/>
      <c r="NOZ23"/>
      <c r="NPA23"/>
      <c r="NPB23"/>
      <c r="NPC23"/>
      <c r="NPD23"/>
      <c r="NPE23"/>
      <c r="NPF23"/>
      <c r="NPG23"/>
      <c r="NPH23"/>
      <c r="NPI23"/>
      <c r="NPJ23"/>
      <c r="NPK23"/>
      <c r="NPL23"/>
      <c r="NPM23"/>
      <c r="NPN23"/>
      <c r="NPO23"/>
      <c r="NPP23"/>
      <c r="NPQ23"/>
      <c r="NPR23"/>
      <c r="NPS23"/>
      <c r="NPT23"/>
      <c r="NPU23"/>
      <c r="NPV23"/>
      <c r="NPW23"/>
      <c r="NPX23"/>
      <c r="NPY23"/>
      <c r="NPZ23"/>
      <c r="NQA23"/>
      <c r="NQB23"/>
      <c r="NQC23"/>
      <c r="NQD23"/>
      <c r="NQE23"/>
      <c r="NQF23"/>
      <c r="NQG23"/>
      <c r="NQH23"/>
      <c r="NQI23"/>
      <c r="NQJ23"/>
      <c r="NQK23"/>
      <c r="NQL23"/>
      <c r="NQM23"/>
      <c r="NQN23"/>
      <c r="NQO23"/>
      <c r="NQP23"/>
      <c r="NQQ23"/>
      <c r="NQR23"/>
      <c r="NQS23"/>
      <c r="NQT23"/>
      <c r="NQU23"/>
      <c r="NQV23"/>
      <c r="NQW23"/>
      <c r="NQX23"/>
      <c r="NQY23"/>
      <c r="NQZ23"/>
      <c r="NRA23"/>
      <c r="NRB23"/>
      <c r="NRC23"/>
      <c r="NRD23"/>
      <c r="NRE23"/>
      <c r="NRF23"/>
      <c r="NRG23"/>
      <c r="NRH23"/>
      <c r="NRI23"/>
      <c r="NRJ23"/>
      <c r="NRK23"/>
      <c r="NRL23"/>
      <c r="NRM23"/>
      <c r="NRN23"/>
      <c r="NRO23"/>
      <c r="NRP23"/>
      <c r="NRQ23"/>
      <c r="NRR23"/>
      <c r="NRS23"/>
      <c r="NRT23"/>
      <c r="NRU23"/>
      <c r="NRV23"/>
      <c r="NRW23"/>
      <c r="NRX23"/>
      <c r="NRY23"/>
      <c r="NRZ23"/>
      <c r="NSA23"/>
      <c r="NSB23"/>
      <c r="NSC23"/>
      <c r="NSD23"/>
      <c r="NSE23"/>
      <c r="NSF23"/>
      <c r="NSG23"/>
      <c r="NSH23"/>
      <c r="NSI23"/>
      <c r="NSJ23"/>
      <c r="NSK23"/>
      <c r="NSL23"/>
      <c r="NSM23"/>
      <c r="NSN23"/>
      <c r="NSO23"/>
      <c r="NSP23"/>
      <c r="NSQ23"/>
      <c r="NSR23"/>
      <c r="NSS23"/>
      <c r="NST23"/>
      <c r="NSU23"/>
      <c r="NSV23"/>
      <c r="NSW23"/>
      <c r="NSX23"/>
      <c r="NSY23"/>
      <c r="NSZ23"/>
      <c r="NTA23"/>
      <c r="NTB23"/>
      <c r="NTC23"/>
      <c r="NTD23"/>
      <c r="NTE23"/>
      <c r="NTF23"/>
      <c r="NTG23"/>
      <c r="NTH23"/>
      <c r="NTI23"/>
      <c r="NTJ23"/>
      <c r="NTK23"/>
      <c r="NTL23"/>
      <c r="NTM23"/>
      <c r="NTN23"/>
      <c r="NTO23"/>
      <c r="NTP23"/>
      <c r="NTQ23"/>
      <c r="NTR23"/>
      <c r="NTS23"/>
      <c r="NTT23"/>
      <c r="NTU23"/>
      <c r="NTV23"/>
      <c r="NTW23"/>
      <c r="NTX23"/>
      <c r="NTY23"/>
      <c r="NTZ23"/>
      <c r="NUA23"/>
      <c r="NUB23"/>
      <c r="NUC23"/>
      <c r="NUD23"/>
      <c r="NUE23"/>
      <c r="NUF23"/>
      <c r="NUG23"/>
      <c r="NUH23"/>
      <c r="NUI23"/>
      <c r="NUJ23"/>
      <c r="NUK23"/>
      <c r="NUL23"/>
      <c r="NUM23"/>
      <c r="NUN23"/>
      <c r="NUO23"/>
      <c r="NUP23"/>
      <c r="NUQ23"/>
      <c r="NUR23"/>
      <c r="NUS23"/>
      <c r="NUT23"/>
      <c r="NUU23"/>
      <c r="NUV23"/>
      <c r="NUW23"/>
      <c r="NUX23"/>
      <c r="NUY23"/>
      <c r="NUZ23"/>
      <c r="NVA23"/>
      <c r="NVB23"/>
      <c r="NVC23"/>
      <c r="NVD23"/>
      <c r="NVE23"/>
      <c r="NVF23"/>
      <c r="NVG23"/>
      <c r="NVH23"/>
      <c r="NVI23"/>
      <c r="NVJ23"/>
      <c r="NVK23"/>
      <c r="NVL23"/>
      <c r="NVM23"/>
      <c r="NVN23"/>
      <c r="NVO23"/>
      <c r="NVP23"/>
      <c r="NVQ23"/>
      <c r="NVR23"/>
      <c r="NVS23"/>
      <c r="NVT23"/>
      <c r="NVU23"/>
      <c r="NVV23"/>
      <c r="NVW23"/>
      <c r="NVX23"/>
      <c r="NVY23"/>
      <c r="NVZ23"/>
      <c r="NWA23"/>
      <c r="NWB23"/>
      <c r="NWC23"/>
      <c r="NWD23"/>
      <c r="NWE23"/>
      <c r="NWF23"/>
      <c r="NWG23"/>
      <c r="NWH23"/>
      <c r="NWI23"/>
      <c r="NWJ23"/>
      <c r="NWK23"/>
      <c r="NWL23"/>
      <c r="NWM23"/>
      <c r="NWN23"/>
      <c r="NWO23"/>
      <c r="NWP23"/>
      <c r="NWQ23"/>
      <c r="NWR23"/>
      <c r="NWS23"/>
      <c r="NWT23"/>
      <c r="NWU23"/>
      <c r="NWV23"/>
      <c r="NWW23"/>
      <c r="NWX23"/>
      <c r="NWY23"/>
      <c r="NWZ23"/>
      <c r="NXA23"/>
      <c r="NXB23"/>
      <c r="NXC23"/>
      <c r="NXD23"/>
      <c r="NXE23"/>
      <c r="NXF23"/>
      <c r="NXG23"/>
      <c r="NXH23"/>
      <c r="NXI23"/>
      <c r="NXJ23"/>
      <c r="NXK23"/>
      <c r="NXL23"/>
      <c r="NXM23"/>
      <c r="NXN23"/>
      <c r="NXO23"/>
      <c r="NXP23"/>
      <c r="NXQ23"/>
      <c r="NXR23"/>
      <c r="NXS23"/>
      <c r="NXT23"/>
      <c r="NXU23"/>
      <c r="NXV23"/>
      <c r="NXW23"/>
      <c r="NXX23"/>
      <c r="NXY23"/>
      <c r="NXZ23"/>
      <c r="NYA23"/>
      <c r="NYB23"/>
      <c r="NYC23"/>
      <c r="NYD23"/>
      <c r="NYE23"/>
      <c r="NYF23"/>
      <c r="NYG23"/>
      <c r="NYH23"/>
      <c r="NYI23"/>
      <c r="NYJ23"/>
      <c r="NYK23"/>
      <c r="NYL23"/>
      <c r="NYM23"/>
      <c r="NYN23"/>
      <c r="NYO23"/>
      <c r="NYP23"/>
      <c r="NYQ23"/>
      <c r="NYR23"/>
      <c r="NYS23"/>
      <c r="NYT23"/>
      <c r="NYU23"/>
      <c r="NYV23"/>
      <c r="NYW23"/>
      <c r="NYX23"/>
      <c r="NYY23"/>
      <c r="NYZ23"/>
      <c r="NZA23"/>
      <c r="NZB23"/>
      <c r="NZC23"/>
      <c r="NZD23"/>
      <c r="NZE23"/>
      <c r="NZF23"/>
      <c r="NZG23"/>
      <c r="NZH23"/>
      <c r="NZI23"/>
      <c r="NZJ23"/>
      <c r="NZK23"/>
      <c r="NZL23"/>
      <c r="NZM23"/>
      <c r="NZN23"/>
      <c r="NZO23"/>
      <c r="NZP23"/>
      <c r="NZQ23"/>
      <c r="NZR23"/>
      <c r="NZS23"/>
      <c r="NZT23"/>
      <c r="NZU23"/>
      <c r="NZV23"/>
      <c r="NZW23"/>
      <c r="NZX23"/>
      <c r="NZY23"/>
      <c r="NZZ23"/>
      <c r="OAA23"/>
      <c r="OAB23"/>
      <c r="OAC23"/>
      <c r="OAD23"/>
      <c r="OAE23"/>
      <c r="OAF23"/>
      <c r="OAG23"/>
      <c r="OAH23"/>
      <c r="OAI23"/>
      <c r="OAJ23"/>
      <c r="OAK23"/>
      <c r="OAL23"/>
      <c r="OAM23"/>
      <c r="OAN23"/>
      <c r="OAO23"/>
      <c r="OAP23"/>
      <c r="OAQ23"/>
      <c r="OAR23"/>
      <c r="OAS23"/>
      <c r="OAT23"/>
      <c r="OAU23"/>
      <c r="OAV23"/>
      <c r="OAW23"/>
      <c r="OAX23"/>
      <c r="OAY23"/>
      <c r="OAZ23"/>
      <c r="OBA23"/>
      <c r="OBB23"/>
      <c r="OBC23"/>
      <c r="OBD23"/>
      <c r="OBE23"/>
      <c r="OBF23"/>
      <c r="OBG23"/>
      <c r="OBH23"/>
      <c r="OBI23"/>
      <c r="OBJ23"/>
      <c r="OBK23"/>
      <c r="OBL23"/>
      <c r="OBM23"/>
      <c r="OBN23"/>
      <c r="OBO23"/>
      <c r="OBP23"/>
      <c r="OBQ23"/>
      <c r="OBR23"/>
      <c r="OBS23"/>
      <c r="OBT23"/>
      <c r="OBU23"/>
      <c r="OBV23"/>
      <c r="OBW23"/>
      <c r="OBX23"/>
      <c r="OBY23"/>
      <c r="OBZ23"/>
      <c r="OCA23"/>
      <c r="OCB23"/>
      <c r="OCC23"/>
      <c r="OCD23"/>
      <c r="OCE23"/>
      <c r="OCF23"/>
      <c r="OCG23"/>
      <c r="OCH23"/>
      <c r="OCI23"/>
      <c r="OCJ23"/>
      <c r="OCK23"/>
      <c r="OCL23"/>
      <c r="OCM23"/>
      <c r="OCN23"/>
      <c r="OCO23"/>
      <c r="OCP23"/>
      <c r="OCQ23"/>
      <c r="OCR23"/>
      <c r="OCS23"/>
      <c r="OCT23"/>
      <c r="OCU23"/>
      <c r="OCV23"/>
      <c r="OCW23"/>
      <c r="OCX23"/>
      <c r="OCY23"/>
      <c r="OCZ23"/>
      <c r="ODA23"/>
      <c r="ODB23"/>
      <c r="ODC23"/>
      <c r="ODD23"/>
      <c r="ODE23"/>
      <c r="ODF23"/>
      <c r="ODG23"/>
      <c r="ODH23"/>
      <c r="ODI23"/>
      <c r="ODJ23"/>
      <c r="ODK23"/>
      <c r="ODL23"/>
      <c r="ODM23"/>
      <c r="ODN23"/>
      <c r="ODO23"/>
      <c r="ODP23"/>
      <c r="ODQ23"/>
      <c r="ODR23"/>
      <c r="ODS23"/>
      <c r="ODT23"/>
      <c r="ODU23"/>
      <c r="ODV23"/>
      <c r="ODW23"/>
      <c r="ODX23"/>
      <c r="ODY23"/>
      <c r="ODZ23"/>
      <c r="OEA23"/>
      <c r="OEB23"/>
      <c r="OEC23"/>
      <c r="OED23"/>
      <c r="OEE23"/>
      <c r="OEF23"/>
      <c r="OEG23"/>
      <c r="OEH23"/>
      <c r="OEI23"/>
      <c r="OEJ23"/>
      <c r="OEK23"/>
      <c r="OEL23"/>
      <c r="OEM23"/>
      <c r="OEN23"/>
      <c r="OEO23"/>
      <c r="OEP23"/>
      <c r="OEQ23"/>
      <c r="OER23"/>
      <c r="OES23"/>
      <c r="OET23"/>
      <c r="OEU23"/>
      <c r="OEV23"/>
      <c r="OEW23"/>
      <c r="OEX23"/>
      <c r="OEY23"/>
      <c r="OEZ23"/>
      <c r="OFA23"/>
      <c r="OFB23"/>
      <c r="OFC23"/>
      <c r="OFD23"/>
      <c r="OFE23"/>
      <c r="OFF23"/>
      <c r="OFG23"/>
      <c r="OFH23"/>
      <c r="OFI23"/>
      <c r="OFJ23"/>
      <c r="OFK23"/>
      <c r="OFL23"/>
      <c r="OFM23"/>
      <c r="OFN23"/>
      <c r="OFO23"/>
      <c r="OFP23"/>
      <c r="OFQ23"/>
      <c r="OFR23"/>
      <c r="OFS23"/>
      <c r="OFT23"/>
      <c r="OFU23"/>
      <c r="OFV23"/>
      <c r="OFW23"/>
      <c r="OFX23"/>
      <c r="OFY23"/>
      <c r="OFZ23"/>
      <c r="OGA23"/>
      <c r="OGB23"/>
      <c r="OGC23"/>
      <c r="OGD23"/>
      <c r="OGE23"/>
      <c r="OGF23"/>
      <c r="OGG23"/>
      <c r="OGH23"/>
      <c r="OGI23"/>
      <c r="OGJ23"/>
      <c r="OGK23"/>
      <c r="OGL23"/>
      <c r="OGM23"/>
      <c r="OGN23"/>
      <c r="OGO23"/>
      <c r="OGP23"/>
      <c r="OGQ23"/>
      <c r="OGR23"/>
      <c r="OGS23"/>
      <c r="OGT23"/>
      <c r="OGU23"/>
      <c r="OGV23"/>
      <c r="OGW23"/>
      <c r="OGX23"/>
      <c r="OGY23"/>
      <c r="OGZ23"/>
      <c r="OHA23"/>
      <c r="OHB23"/>
      <c r="OHC23"/>
      <c r="OHD23"/>
      <c r="OHE23"/>
      <c r="OHF23"/>
      <c r="OHG23"/>
      <c r="OHH23"/>
      <c r="OHI23"/>
      <c r="OHJ23"/>
      <c r="OHK23"/>
      <c r="OHL23"/>
      <c r="OHM23"/>
      <c r="OHN23"/>
      <c r="OHO23"/>
      <c r="OHP23"/>
      <c r="OHQ23"/>
      <c r="OHR23"/>
      <c r="OHS23"/>
      <c r="OHT23"/>
      <c r="OHU23"/>
      <c r="OHV23"/>
      <c r="OHW23"/>
      <c r="OHX23"/>
      <c r="OHY23"/>
      <c r="OHZ23"/>
      <c r="OIA23"/>
      <c r="OIB23"/>
      <c r="OIC23"/>
      <c r="OID23"/>
      <c r="OIE23"/>
      <c r="OIF23"/>
      <c r="OIG23"/>
      <c r="OIH23"/>
      <c r="OII23"/>
      <c r="OIJ23"/>
      <c r="OIK23"/>
      <c r="OIL23"/>
      <c r="OIM23"/>
      <c r="OIN23"/>
      <c r="OIO23"/>
      <c r="OIP23"/>
      <c r="OIQ23"/>
      <c r="OIR23"/>
      <c r="OIS23"/>
      <c r="OIT23"/>
      <c r="OIU23"/>
      <c r="OIV23"/>
      <c r="OIW23"/>
      <c r="OIX23"/>
      <c r="OIY23"/>
      <c r="OIZ23"/>
      <c r="OJA23"/>
      <c r="OJB23"/>
      <c r="OJC23"/>
      <c r="OJD23"/>
      <c r="OJE23"/>
      <c r="OJF23"/>
      <c r="OJG23"/>
      <c r="OJH23"/>
      <c r="OJI23"/>
      <c r="OJJ23"/>
      <c r="OJK23"/>
      <c r="OJL23"/>
      <c r="OJM23"/>
      <c r="OJN23"/>
      <c r="OJO23"/>
      <c r="OJP23"/>
      <c r="OJQ23"/>
      <c r="OJR23"/>
      <c r="OJS23"/>
      <c r="OJT23"/>
      <c r="OJU23"/>
      <c r="OJV23"/>
      <c r="OJW23"/>
      <c r="OJX23"/>
      <c r="OJY23"/>
      <c r="OJZ23"/>
      <c r="OKA23"/>
      <c r="OKB23"/>
      <c r="OKC23"/>
      <c r="OKD23"/>
      <c r="OKE23"/>
      <c r="OKF23"/>
      <c r="OKG23"/>
      <c r="OKH23"/>
      <c r="OKI23"/>
      <c r="OKJ23"/>
      <c r="OKK23"/>
      <c r="OKL23"/>
      <c r="OKM23"/>
      <c r="OKN23"/>
      <c r="OKO23"/>
      <c r="OKP23"/>
      <c r="OKQ23"/>
      <c r="OKR23"/>
      <c r="OKS23"/>
      <c r="OKT23"/>
      <c r="OKU23"/>
      <c r="OKV23"/>
      <c r="OKW23"/>
      <c r="OKX23"/>
      <c r="OKY23"/>
      <c r="OKZ23"/>
      <c r="OLA23"/>
      <c r="OLB23"/>
      <c r="OLC23"/>
      <c r="OLD23"/>
      <c r="OLE23"/>
      <c r="OLF23"/>
      <c r="OLG23"/>
      <c r="OLH23"/>
      <c r="OLI23"/>
      <c r="OLJ23"/>
      <c r="OLK23"/>
      <c r="OLL23"/>
      <c r="OLM23"/>
      <c r="OLN23"/>
      <c r="OLO23"/>
      <c r="OLP23"/>
      <c r="OLQ23"/>
      <c r="OLR23"/>
      <c r="OLS23"/>
      <c r="OLT23"/>
      <c r="OLU23"/>
      <c r="OLV23"/>
      <c r="OLW23"/>
      <c r="OLX23"/>
      <c r="OLY23"/>
      <c r="OLZ23"/>
      <c r="OMA23"/>
      <c r="OMB23"/>
      <c r="OMC23"/>
      <c r="OMD23"/>
      <c r="OME23"/>
      <c r="OMF23"/>
      <c r="OMG23"/>
      <c r="OMH23"/>
      <c r="OMI23"/>
      <c r="OMJ23"/>
      <c r="OMK23"/>
      <c r="OML23"/>
      <c r="OMM23"/>
      <c r="OMN23"/>
      <c r="OMO23"/>
      <c r="OMP23"/>
      <c r="OMQ23"/>
      <c r="OMR23"/>
      <c r="OMS23"/>
      <c r="OMT23"/>
      <c r="OMU23"/>
      <c r="OMV23"/>
      <c r="OMW23"/>
      <c r="OMX23"/>
      <c r="OMY23"/>
      <c r="OMZ23"/>
      <c r="ONA23"/>
      <c r="ONB23"/>
      <c r="ONC23"/>
      <c r="OND23"/>
      <c r="ONE23"/>
      <c r="ONF23"/>
      <c r="ONG23"/>
      <c r="ONH23"/>
      <c r="ONI23"/>
      <c r="ONJ23"/>
      <c r="ONK23"/>
      <c r="ONL23"/>
      <c r="ONM23"/>
      <c r="ONN23"/>
      <c r="ONO23"/>
      <c r="ONP23"/>
      <c r="ONQ23"/>
      <c r="ONR23"/>
      <c r="ONS23"/>
      <c r="ONT23"/>
      <c r="ONU23"/>
      <c r="ONV23"/>
      <c r="ONW23"/>
      <c r="ONX23"/>
      <c r="ONY23"/>
      <c r="ONZ23"/>
      <c r="OOA23"/>
      <c r="OOB23"/>
      <c r="OOC23"/>
      <c r="OOD23"/>
      <c r="OOE23"/>
      <c r="OOF23"/>
      <c r="OOG23"/>
      <c r="OOH23"/>
      <c r="OOI23"/>
      <c r="OOJ23"/>
      <c r="OOK23"/>
      <c r="OOL23"/>
      <c r="OOM23"/>
      <c r="OON23"/>
      <c r="OOO23"/>
      <c r="OOP23"/>
      <c r="OOQ23"/>
      <c r="OOR23"/>
      <c r="OOS23"/>
      <c r="OOT23"/>
      <c r="OOU23"/>
      <c r="OOV23"/>
      <c r="OOW23"/>
      <c r="OOX23"/>
      <c r="OOY23"/>
      <c r="OOZ23"/>
      <c r="OPA23"/>
      <c r="OPB23"/>
      <c r="OPC23"/>
      <c r="OPD23"/>
      <c r="OPE23"/>
      <c r="OPF23"/>
      <c r="OPG23"/>
      <c r="OPH23"/>
      <c r="OPI23"/>
      <c r="OPJ23"/>
      <c r="OPK23"/>
      <c r="OPL23"/>
      <c r="OPM23"/>
      <c r="OPN23"/>
      <c r="OPO23"/>
      <c r="OPP23"/>
      <c r="OPQ23"/>
      <c r="OPR23"/>
      <c r="OPS23"/>
      <c r="OPT23"/>
      <c r="OPU23"/>
      <c r="OPV23"/>
      <c r="OPW23"/>
      <c r="OPX23"/>
      <c r="OPY23"/>
      <c r="OPZ23"/>
      <c r="OQA23"/>
      <c r="OQB23"/>
      <c r="OQC23"/>
      <c r="OQD23"/>
      <c r="OQE23"/>
      <c r="OQF23"/>
      <c r="OQG23"/>
      <c r="OQH23"/>
      <c r="OQI23"/>
      <c r="OQJ23"/>
      <c r="OQK23"/>
      <c r="OQL23"/>
      <c r="OQM23"/>
      <c r="OQN23"/>
      <c r="OQO23"/>
      <c r="OQP23"/>
      <c r="OQQ23"/>
      <c r="OQR23"/>
      <c r="OQS23"/>
      <c r="OQT23"/>
      <c r="OQU23"/>
      <c r="OQV23"/>
      <c r="OQW23"/>
      <c r="OQX23"/>
      <c r="OQY23"/>
      <c r="OQZ23"/>
      <c r="ORA23"/>
      <c r="ORB23"/>
      <c r="ORC23"/>
      <c r="ORD23"/>
      <c r="ORE23"/>
      <c r="ORF23"/>
      <c r="ORG23"/>
      <c r="ORH23"/>
      <c r="ORI23"/>
      <c r="ORJ23"/>
      <c r="ORK23"/>
      <c r="ORL23"/>
      <c r="ORM23"/>
      <c r="ORN23"/>
      <c r="ORO23"/>
      <c r="ORP23"/>
      <c r="ORQ23"/>
      <c r="ORR23"/>
      <c r="ORS23"/>
      <c r="ORT23"/>
      <c r="ORU23"/>
      <c r="ORV23"/>
      <c r="ORW23"/>
      <c r="ORX23"/>
      <c r="ORY23"/>
      <c r="ORZ23"/>
      <c r="OSA23"/>
      <c r="OSB23"/>
      <c r="OSC23"/>
      <c r="OSD23"/>
      <c r="OSE23"/>
      <c r="OSF23"/>
      <c r="OSG23"/>
      <c r="OSH23"/>
      <c r="OSI23"/>
      <c r="OSJ23"/>
      <c r="OSK23"/>
      <c r="OSL23"/>
      <c r="OSM23"/>
      <c r="OSN23"/>
      <c r="OSO23"/>
      <c r="OSP23"/>
      <c r="OSQ23"/>
      <c r="OSR23"/>
      <c r="OSS23"/>
      <c r="OST23"/>
      <c r="OSU23"/>
      <c r="OSV23"/>
      <c r="OSW23"/>
      <c r="OSX23"/>
      <c r="OSY23"/>
      <c r="OSZ23"/>
      <c r="OTA23"/>
      <c r="OTB23"/>
      <c r="OTC23"/>
      <c r="OTD23"/>
      <c r="OTE23"/>
      <c r="OTF23"/>
      <c r="OTG23"/>
      <c r="OTH23"/>
      <c r="OTI23"/>
      <c r="OTJ23"/>
      <c r="OTK23"/>
      <c r="OTL23"/>
      <c r="OTM23"/>
      <c r="OTN23"/>
      <c r="OTO23"/>
      <c r="OTP23"/>
      <c r="OTQ23"/>
      <c r="OTR23"/>
      <c r="OTS23"/>
      <c r="OTT23"/>
      <c r="OTU23"/>
      <c r="OTV23"/>
      <c r="OTW23"/>
      <c r="OTX23"/>
      <c r="OTY23"/>
      <c r="OTZ23"/>
      <c r="OUA23"/>
      <c r="OUB23"/>
      <c r="OUC23"/>
      <c r="OUD23"/>
      <c r="OUE23"/>
      <c r="OUF23"/>
      <c r="OUG23"/>
      <c r="OUH23"/>
      <c r="OUI23"/>
      <c r="OUJ23"/>
      <c r="OUK23"/>
      <c r="OUL23"/>
      <c r="OUM23"/>
      <c r="OUN23"/>
      <c r="OUO23"/>
      <c r="OUP23"/>
      <c r="OUQ23"/>
      <c r="OUR23"/>
      <c r="OUS23"/>
      <c r="OUT23"/>
      <c r="OUU23"/>
      <c r="OUV23"/>
      <c r="OUW23"/>
      <c r="OUX23"/>
      <c r="OUY23"/>
      <c r="OUZ23"/>
      <c r="OVA23"/>
      <c r="OVB23"/>
      <c r="OVC23"/>
      <c r="OVD23"/>
      <c r="OVE23"/>
      <c r="OVF23"/>
      <c r="OVG23"/>
      <c r="OVH23"/>
      <c r="OVI23"/>
      <c r="OVJ23"/>
      <c r="OVK23"/>
      <c r="OVL23"/>
      <c r="OVM23"/>
      <c r="OVN23"/>
      <c r="OVO23"/>
      <c r="OVP23"/>
      <c r="OVQ23"/>
      <c r="OVR23"/>
      <c r="OVS23"/>
      <c r="OVT23"/>
      <c r="OVU23"/>
      <c r="OVV23"/>
      <c r="OVW23"/>
      <c r="OVX23"/>
      <c r="OVY23"/>
      <c r="OVZ23"/>
      <c r="OWA23"/>
      <c r="OWB23"/>
      <c r="OWC23"/>
      <c r="OWD23"/>
      <c r="OWE23"/>
      <c r="OWF23"/>
      <c r="OWG23"/>
      <c r="OWH23"/>
      <c r="OWI23"/>
      <c r="OWJ23"/>
      <c r="OWK23"/>
      <c r="OWL23"/>
      <c r="OWM23"/>
      <c r="OWN23"/>
      <c r="OWO23"/>
      <c r="OWP23"/>
      <c r="OWQ23"/>
      <c r="OWR23"/>
      <c r="OWS23"/>
      <c r="OWT23"/>
      <c r="OWU23"/>
      <c r="OWV23"/>
      <c r="OWW23"/>
      <c r="OWX23"/>
      <c r="OWY23"/>
      <c r="OWZ23"/>
      <c r="OXA23"/>
      <c r="OXB23"/>
      <c r="OXC23"/>
      <c r="OXD23"/>
      <c r="OXE23"/>
      <c r="OXF23"/>
      <c r="OXG23"/>
      <c r="OXH23"/>
      <c r="OXI23"/>
      <c r="OXJ23"/>
      <c r="OXK23"/>
      <c r="OXL23"/>
      <c r="OXM23"/>
      <c r="OXN23"/>
      <c r="OXO23"/>
      <c r="OXP23"/>
      <c r="OXQ23"/>
      <c r="OXR23"/>
      <c r="OXS23"/>
      <c r="OXT23"/>
      <c r="OXU23"/>
      <c r="OXV23"/>
      <c r="OXW23"/>
      <c r="OXX23"/>
      <c r="OXY23"/>
      <c r="OXZ23"/>
      <c r="OYA23"/>
      <c r="OYB23"/>
      <c r="OYC23"/>
      <c r="OYD23"/>
      <c r="OYE23"/>
      <c r="OYF23"/>
      <c r="OYG23"/>
      <c r="OYH23"/>
      <c r="OYI23"/>
      <c r="OYJ23"/>
      <c r="OYK23"/>
      <c r="OYL23"/>
      <c r="OYM23"/>
      <c r="OYN23"/>
      <c r="OYO23"/>
      <c r="OYP23"/>
      <c r="OYQ23"/>
      <c r="OYR23"/>
      <c r="OYS23"/>
      <c r="OYT23"/>
      <c r="OYU23"/>
      <c r="OYV23"/>
      <c r="OYW23"/>
      <c r="OYX23"/>
      <c r="OYY23"/>
      <c r="OYZ23"/>
      <c r="OZA23"/>
      <c r="OZB23"/>
      <c r="OZC23"/>
      <c r="OZD23"/>
      <c r="OZE23"/>
      <c r="OZF23"/>
      <c r="OZG23"/>
      <c r="OZH23"/>
      <c r="OZI23"/>
      <c r="OZJ23"/>
      <c r="OZK23"/>
      <c r="OZL23"/>
      <c r="OZM23"/>
      <c r="OZN23"/>
      <c r="OZO23"/>
      <c r="OZP23"/>
      <c r="OZQ23"/>
      <c r="OZR23"/>
      <c r="OZS23"/>
      <c r="OZT23"/>
      <c r="OZU23"/>
      <c r="OZV23"/>
      <c r="OZW23"/>
      <c r="OZX23"/>
      <c r="OZY23"/>
      <c r="OZZ23"/>
      <c r="PAA23"/>
      <c r="PAB23"/>
      <c r="PAC23"/>
      <c r="PAD23"/>
      <c r="PAE23"/>
      <c r="PAF23"/>
      <c r="PAG23"/>
      <c r="PAH23"/>
      <c r="PAI23"/>
      <c r="PAJ23"/>
      <c r="PAK23"/>
      <c r="PAL23"/>
      <c r="PAM23"/>
      <c r="PAN23"/>
      <c r="PAO23"/>
      <c r="PAP23"/>
      <c r="PAQ23"/>
      <c r="PAR23"/>
      <c r="PAS23"/>
      <c r="PAT23"/>
      <c r="PAU23"/>
      <c r="PAV23"/>
      <c r="PAW23"/>
      <c r="PAX23"/>
      <c r="PAY23"/>
      <c r="PAZ23"/>
      <c r="PBA23"/>
      <c r="PBB23"/>
      <c r="PBC23"/>
      <c r="PBD23"/>
      <c r="PBE23"/>
      <c r="PBF23"/>
      <c r="PBG23"/>
      <c r="PBH23"/>
      <c r="PBI23"/>
      <c r="PBJ23"/>
      <c r="PBK23"/>
      <c r="PBL23"/>
      <c r="PBM23"/>
      <c r="PBN23"/>
      <c r="PBO23"/>
      <c r="PBP23"/>
      <c r="PBQ23"/>
      <c r="PBR23"/>
      <c r="PBS23"/>
      <c r="PBT23"/>
      <c r="PBU23"/>
      <c r="PBV23"/>
      <c r="PBW23"/>
      <c r="PBX23"/>
      <c r="PBY23"/>
      <c r="PBZ23"/>
      <c r="PCA23"/>
      <c r="PCB23"/>
      <c r="PCC23"/>
      <c r="PCD23"/>
      <c r="PCE23"/>
      <c r="PCF23"/>
      <c r="PCG23"/>
      <c r="PCH23"/>
      <c r="PCI23"/>
      <c r="PCJ23"/>
      <c r="PCK23"/>
      <c r="PCL23"/>
      <c r="PCM23"/>
      <c r="PCN23"/>
      <c r="PCO23"/>
      <c r="PCP23"/>
      <c r="PCQ23"/>
      <c r="PCR23"/>
      <c r="PCS23"/>
      <c r="PCT23"/>
      <c r="PCU23"/>
      <c r="PCV23"/>
      <c r="PCW23"/>
      <c r="PCX23"/>
      <c r="PCY23"/>
      <c r="PCZ23"/>
      <c r="PDA23"/>
      <c r="PDB23"/>
      <c r="PDC23"/>
      <c r="PDD23"/>
      <c r="PDE23"/>
      <c r="PDF23"/>
      <c r="PDG23"/>
      <c r="PDH23"/>
      <c r="PDI23"/>
      <c r="PDJ23"/>
      <c r="PDK23"/>
      <c r="PDL23"/>
      <c r="PDM23"/>
      <c r="PDN23"/>
      <c r="PDO23"/>
      <c r="PDP23"/>
      <c r="PDQ23"/>
      <c r="PDR23"/>
      <c r="PDS23"/>
      <c r="PDT23"/>
      <c r="PDU23"/>
      <c r="PDV23"/>
      <c r="PDW23"/>
      <c r="PDX23"/>
      <c r="PDY23"/>
      <c r="PDZ23"/>
      <c r="PEA23"/>
      <c r="PEB23"/>
      <c r="PEC23"/>
      <c r="PED23"/>
      <c r="PEE23"/>
      <c r="PEF23"/>
      <c r="PEG23"/>
      <c r="PEH23"/>
      <c r="PEI23"/>
      <c r="PEJ23"/>
      <c r="PEK23"/>
      <c r="PEL23"/>
      <c r="PEM23"/>
      <c r="PEN23"/>
      <c r="PEO23"/>
      <c r="PEP23"/>
      <c r="PEQ23"/>
      <c r="PER23"/>
      <c r="PES23"/>
      <c r="PET23"/>
      <c r="PEU23"/>
      <c r="PEV23"/>
      <c r="PEW23"/>
      <c r="PEX23"/>
      <c r="PEY23"/>
      <c r="PEZ23"/>
      <c r="PFA23"/>
      <c r="PFB23"/>
      <c r="PFC23"/>
      <c r="PFD23"/>
      <c r="PFE23"/>
      <c r="PFF23"/>
      <c r="PFG23"/>
      <c r="PFH23"/>
      <c r="PFI23"/>
      <c r="PFJ23"/>
      <c r="PFK23"/>
      <c r="PFL23"/>
      <c r="PFM23"/>
      <c r="PFN23"/>
      <c r="PFO23"/>
      <c r="PFP23"/>
      <c r="PFQ23"/>
      <c r="PFR23"/>
      <c r="PFS23"/>
      <c r="PFT23"/>
      <c r="PFU23"/>
      <c r="PFV23"/>
      <c r="PFW23"/>
      <c r="PFX23"/>
      <c r="PFY23"/>
      <c r="PFZ23"/>
      <c r="PGA23"/>
      <c r="PGB23"/>
      <c r="PGC23"/>
      <c r="PGD23"/>
      <c r="PGE23"/>
      <c r="PGF23"/>
      <c r="PGG23"/>
      <c r="PGH23"/>
      <c r="PGI23"/>
      <c r="PGJ23"/>
      <c r="PGK23"/>
      <c r="PGL23"/>
      <c r="PGM23"/>
      <c r="PGN23"/>
      <c r="PGO23"/>
      <c r="PGP23"/>
      <c r="PGQ23"/>
      <c r="PGR23"/>
      <c r="PGS23"/>
      <c r="PGT23"/>
      <c r="PGU23"/>
      <c r="PGV23"/>
      <c r="PGW23"/>
      <c r="PGX23"/>
      <c r="PGY23"/>
      <c r="PGZ23"/>
      <c r="PHA23"/>
      <c r="PHB23"/>
      <c r="PHC23"/>
      <c r="PHD23"/>
      <c r="PHE23"/>
      <c r="PHF23"/>
      <c r="PHG23"/>
      <c r="PHH23"/>
      <c r="PHI23"/>
      <c r="PHJ23"/>
      <c r="PHK23"/>
      <c r="PHL23"/>
      <c r="PHM23"/>
      <c r="PHN23"/>
      <c r="PHO23"/>
      <c r="PHP23"/>
      <c r="PHQ23"/>
      <c r="PHR23"/>
      <c r="PHS23"/>
      <c r="PHT23"/>
      <c r="PHU23"/>
      <c r="PHV23"/>
      <c r="PHW23"/>
      <c r="PHX23"/>
      <c r="PHY23"/>
      <c r="PHZ23"/>
      <c r="PIA23"/>
      <c r="PIB23"/>
      <c r="PIC23"/>
      <c r="PID23"/>
      <c r="PIE23"/>
      <c r="PIF23"/>
      <c r="PIG23"/>
      <c r="PIH23"/>
      <c r="PII23"/>
      <c r="PIJ23"/>
      <c r="PIK23"/>
      <c r="PIL23"/>
      <c r="PIM23"/>
      <c r="PIN23"/>
      <c r="PIO23"/>
      <c r="PIP23"/>
      <c r="PIQ23"/>
      <c r="PIR23"/>
      <c r="PIS23"/>
      <c r="PIT23"/>
      <c r="PIU23"/>
      <c r="PIV23"/>
      <c r="PIW23"/>
      <c r="PIX23"/>
      <c r="PIY23"/>
      <c r="PIZ23"/>
      <c r="PJA23"/>
      <c r="PJB23"/>
      <c r="PJC23"/>
      <c r="PJD23"/>
      <c r="PJE23"/>
      <c r="PJF23"/>
      <c r="PJG23"/>
      <c r="PJH23"/>
      <c r="PJI23"/>
      <c r="PJJ23"/>
      <c r="PJK23"/>
      <c r="PJL23"/>
      <c r="PJM23"/>
      <c r="PJN23"/>
      <c r="PJO23"/>
      <c r="PJP23"/>
      <c r="PJQ23"/>
      <c r="PJR23"/>
      <c r="PJS23"/>
      <c r="PJT23"/>
      <c r="PJU23"/>
      <c r="PJV23"/>
      <c r="PJW23"/>
      <c r="PJX23"/>
      <c r="PJY23"/>
      <c r="PJZ23"/>
      <c r="PKA23"/>
      <c r="PKB23"/>
      <c r="PKC23"/>
      <c r="PKD23"/>
      <c r="PKE23"/>
      <c r="PKF23"/>
      <c r="PKG23"/>
      <c r="PKH23"/>
      <c r="PKI23"/>
      <c r="PKJ23"/>
      <c r="PKK23"/>
      <c r="PKL23"/>
      <c r="PKM23"/>
      <c r="PKN23"/>
      <c r="PKO23"/>
      <c r="PKP23"/>
      <c r="PKQ23"/>
      <c r="PKR23"/>
      <c r="PKS23"/>
      <c r="PKT23"/>
      <c r="PKU23"/>
      <c r="PKV23"/>
      <c r="PKW23"/>
      <c r="PKX23"/>
      <c r="PKY23"/>
      <c r="PKZ23"/>
      <c r="PLA23"/>
      <c r="PLB23"/>
      <c r="PLC23"/>
      <c r="PLD23"/>
      <c r="PLE23"/>
      <c r="PLF23"/>
      <c r="PLG23"/>
      <c r="PLH23"/>
      <c r="PLI23"/>
      <c r="PLJ23"/>
      <c r="PLK23"/>
      <c r="PLL23"/>
      <c r="PLM23"/>
      <c r="PLN23"/>
      <c r="PLO23"/>
      <c r="PLP23"/>
      <c r="PLQ23"/>
      <c r="PLR23"/>
      <c r="PLS23"/>
      <c r="PLT23"/>
      <c r="PLU23"/>
      <c r="PLV23"/>
      <c r="PLW23"/>
      <c r="PLX23"/>
      <c r="PLY23"/>
      <c r="PLZ23"/>
      <c r="PMA23"/>
      <c r="PMB23"/>
      <c r="PMC23"/>
      <c r="PMD23"/>
      <c r="PME23"/>
      <c r="PMF23"/>
      <c r="PMG23"/>
      <c r="PMH23"/>
      <c r="PMI23"/>
      <c r="PMJ23"/>
      <c r="PMK23"/>
      <c r="PML23"/>
      <c r="PMM23"/>
      <c r="PMN23"/>
      <c r="PMO23"/>
      <c r="PMP23"/>
      <c r="PMQ23"/>
      <c r="PMR23"/>
      <c r="PMS23"/>
      <c r="PMT23"/>
      <c r="PMU23"/>
      <c r="PMV23"/>
      <c r="PMW23"/>
      <c r="PMX23"/>
      <c r="PMY23"/>
      <c r="PMZ23"/>
      <c r="PNA23"/>
      <c r="PNB23"/>
      <c r="PNC23"/>
      <c r="PND23"/>
      <c r="PNE23"/>
      <c r="PNF23"/>
      <c r="PNG23"/>
      <c r="PNH23"/>
      <c r="PNI23"/>
      <c r="PNJ23"/>
      <c r="PNK23"/>
      <c r="PNL23"/>
      <c r="PNM23"/>
      <c r="PNN23"/>
      <c r="PNO23"/>
      <c r="PNP23"/>
      <c r="PNQ23"/>
      <c r="PNR23"/>
      <c r="PNS23"/>
      <c r="PNT23"/>
      <c r="PNU23"/>
      <c r="PNV23"/>
      <c r="PNW23"/>
      <c r="PNX23"/>
      <c r="PNY23"/>
      <c r="PNZ23"/>
      <c r="POA23"/>
      <c r="POB23"/>
      <c r="POC23"/>
      <c r="POD23"/>
      <c r="POE23"/>
      <c r="POF23"/>
      <c r="POG23"/>
      <c r="POH23"/>
      <c r="POI23"/>
      <c r="POJ23"/>
      <c r="POK23"/>
      <c r="POL23"/>
      <c r="POM23"/>
      <c r="PON23"/>
      <c r="POO23"/>
      <c r="POP23"/>
      <c r="POQ23"/>
      <c r="POR23"/>
      <c r="POS23"/>
      <c r="POT23"/>
      <c r="POU23"/>
      <c r="POV23"/>
      <c r="POW23"/>
      <c r="POX23"/>
      <c r="POY23"/>
      <c r="POZ23"/>
      <c r="PPA23"/>
      <c r="PPB23"/>
      <c r="PPC23"/>
      <c r="PPD23"/>
      <c r="PPE23"/>
      <c r="PPF23"/>
      <c r="PPG23"/>
      <c r="PPH23"/>
      <c r="PPI23"/>
      <c r="PPJ23"/>
      <c r="PPK23"/>
      <c r="PPL23"/>
      <c r="PPM23"/>
      <c r="PPN23"/>
      <c r="PPO23"/>
      <c r="PPP23"/>
      <c r="PPQ23"/>
      <c r="PPR23"/>
      <c r="PPS23"/>
      <c r="PPT23"/>
      <c r="PPU23"/>
      <c r="PPV23"/>
      <c r="PPW23"/>
      <c r="PPX23"/>
      <c r="PPY23"/>
      <c r="PPZ23"/>
      <c r="PQA23"/>
      <c r="PQB23"/>
      <c r="PQC23"/>
      <c r="PQD23"/>
      <c r="PQE23"/>
      <c r="PQF23"/>
      <c r="PQG23"/>
      <c r="PQH23"/>
      <c r="PQI23"/>
      <c r="PQJ23"/>
      <c r="PQK23"/>
      <c r="PQL23"/>
      <c r="PQM23"/>
      <c r="PQN23"/>
      <c r="PQO23"/>
      <c r="PQP23"/>
      <c r="PQQ23"/>
      <c r="PQR23"/>
      <c r="PQS23"/>
      <c r="PQT23"/>
      <c r="PQU23"/>
      <c r="PQV23"/>
      <c r="PQW23"/>
      <c r="PQX23"/>
      <c r="PQY23"/>
      <c r="PQZ23"/>
      <c r="PRA23"/>
      <c r="PRB23"/>
      <c r="PRC23"/>
      <c r="PRD23"/>
      <c r="PRE23"/>
      <c r="PRF23"/>
      <c r="PRG23"/>
      <c r="PRH23"/>
      <c r="PRI23"/>
      <c r="PRJ23"/>
      <c r="PRK23"/>
      <c r="PRL23"/>
      <c r="PRM23"/>
      <c r="PRN23"/>
      <c r="PRO23"/>
      <c r="PRP23"/>
      <c r="PRQ23"/>
      <c r="PRR23"/>
      <c r="PRS23"/>
      <c r="PRT23"/>
      <c r="PRU23"/>
      <c r="PRV23"/>
      <c r="PRW23"/>
      <c r="PRX23"/>
      <c r="PRY23"/>
      <c r="PRZ23"/>
      <c r="PSA23"/>
      <c r="PSB23"/>
      <c r="PSC23"/>
      <c r="PSD23"/>
      <c r="PSE23"/>
      <c r="PSF23"/>
      <c r="PSG23"/>
      <c r="PSH23"/>
      <c r="PSI23"/>
      <c r="PSJ23"/>
      <c r="PSK23"/>
      <c r="PSL23"/>
      <c r="PSM23"/>
      <c r="PSN23"/>
      <c r="PSO23"/>
      <c r="PSP23"/>
      <c r="PSQ23"/>
      <c r="PSR23"/>
      <c r="PSS23"/>
      <c r="PST23"/>
      <c r="PSU23"/>
      <c r="PSV23"/>
      <c r="PSW23"/>
      <c r="PSX23"/>
      <c r="PSY23"/>
      <c r="PSZ23"/>
      <c r="PTA23"/>
      <c r="PTB23"/>
      <c r="PTC23"/>
      <c r="PTD23"/>
      <c r="PTE23"/>
      <c r="PTF23"/>
      <c r="PTG23"/>
      <c r="PTH23"/>
      <c r="PTI23"/>
      <c r="PTJ23"/>
      <c r="PTK23"/>
      <c r="PTL23"/>
      <c r="PTM23"/>
      <c r="PTN23"/>
      <c r="PTO23"/>
      <c r="PTP23"/>
      <c r="PTQ23"/>
      <c r="PTR23"/>
      <c r="PTS23"/>
      <c r="PTT23"/>
      <c r="PTU23"/>
      <c r="PTV23"/>
      <c r="PTW23"/>
      <c r="PTX23"/>
      <c r="PTY23"/>
      <c r="PTZ23"/>
      <c r="PUA23"/>
      <c r="PUB23"/>
      <c r="PUC23"/>
      <c r="PUD23"/>
      <c r="PUE23"/>
      <c r="PUF23"/>
      <c r="PUG23"/>
      <c r="PUH23"/>
      <c r="PUI23"/>
      <c r="PUJ23"/>
      <c r="PUK23"/>
      <c r="PUL23"/>
      <c r="PUM23"/>
      <c r="PUN23"/>
      <c r="PUO23"/>
      <c r="PUP23"/>
      <c r="PUQ23"/>
      <c r="PUR23"/>
      <c r="PUS23"/>
      <c r="PUT23"/>
      <c r="PUU23"/>
      <c r="PUV23"/>
      <c r="PUW23"/>
      <c r="PUX23"/>
      <c r="PUY23"/>
      <c r="PUZ23"/>
      <c r="PVA23"/>
      <c r="PVB23"/>
      <c r="PVC23"/>
      <c r="PVD23"/>
      <c r="PVE23"/>
      <c r="PVF23"/>
      <c r="PVG23"/>
      <c r="PVH23"/>
      <c r="PVI23"/>
      <c r="PVJ23"/>
      <c r="PVK23"/>
      <c r="PVL23"/>
      <c r="PVM23"/>
      <c r="PVN23"/>
      <c r="PVO23"/>
      <c r="PVP23"/>
      <c r="PVQ23"/>
      <c r="PVR23"/>
      <c r="PVS23"/>
      <c r="PVT23"/>
      <c r="PVU23"/>
      <c r="PVV23"/>
      <c r="PVW23"/>
      <c r="PVX23"/>
      <c r="PVY23"/>
      <c r="PVZ23"/>
      <c r="PWA23"/>
      <c r="PWB23"/>
      <c r="PWC23"/>
      <c r="PWD23"/>
      <c r="PWE23"/>
      <c r="PWF23"/>
      <c r="PWG23"/>
      <c r="PWH23"/>
      <c r="PWI23"/>
      <c r="PWJ23"/>
      <c r="PWK23"/>
      <c r="PWL23"/>
      <c r="PWM23"/>
      <c r="PWN23"/>
      <c r="PWO23"/>
      <c r="PWP23"/>
      <c r="PWQ23"/>
      <c r="PWR23"/>
      <c r="PWS23"/>
      <c r="PWT23"/>
      <c r="PWU23"/>
      <c r="PWV23"/>
      <c r="PWW23"/>
      <c r="PWX23"/>
      <c r="PWY23"/>
      <c r="PWZ23"/>
      <c r="PXA23"/>
      <c r="PXB23"/>
      <c r="PXC23"/>
      <c r="PXD23"/>
      <c r="PXE23"/>
      <c r="PXF23"/>
      <c r="PXG23"/>
      <c r="PXH23"/>
      <c r="PXI23"/>
      <c r="PXJ23"/>
      <c r="PXK23"/>
      <c r="PXL23"/>
      <c r="PXM23"/>
      <c r="PXN23"/>
      <c r="PXO23"/>
      <c r="PXP23"/>
      <c r="PXQ23"/>
      <c r="PXR23"/>
      <c r="PXS23"/>
      <c r="PXT23"/>
      <c r="PXU23"/>
      <c r="PXV23"/>
      <c r="PXW23"/>
      <c r="PXX23"/>
      <c r="PXY23"/>
      <c r="PXZ23"/>
      <c r="PYA23"/>
      <c r="PYB23"/>
      <c r="PYC23"/>
      <c r="PYD23"/>
      <c r="PYE23"/>
      <c r="PYF23"/>
      <c r="PYG23"/>
      <c r="PYH23"/>
      <c r="PYI23"/>
      <c r="PYJ23"/>
      <c r="PYK23"/>
      <c r="PYL23"/>
      <c r="PYM23"/>
      <c r="PYN23"/>
      <c r="PYO23"/>
      <c r="PYP23"/>
      <c r="PYQ23"/>
      <c r="PYR23"/>
      <c r="PYS23"/>
      <c r="PYT23"/>
      <c r="PYU23"/>
      <c r="PYV23"/>
      <c r="PYW23"/>
      <c r="PYX23"/>
      <c r="PYY23"/>
      <c r="PYZ23"/>
      <c r="PZA23"/>
      <c r="PZB23"/>
      <c r="PZC23"/>
      <c r="PZD23"/>
      <c r="PZE23"/>
      <c r="PZF23"/>
      <c r="PZG23"/>
      <c r="PZH23"/>
      <c r="PZI23"/>
      <c r="PZJ23"/>
      <c r="PZK23"/>
      <c r="PZL23"/>
      <c r="PZM23"/>
      <c r="PZN23"/>
      <c r="PZO23"/>
      <c r="PZP23"/>
      <c r="PZQ23"/>
      <c r="PZR23"/>
      <c r="PZS23"/>
      <c r="PZT23"/>
      <c r="PZU23"/>
      <c r="PZV23"/>
      <c r="PZW23"/>
      <c r="PZX23"/>
      <c r="PZY23"/>
      <c r="PZZ23"/>
      <c r="QAA23"/>
      <c r="QAB23"/>
      <c r="QAC23"/>
      <c r="QAD23"/>
      <c r="QAE23"/>
      <c r="QAF23"/>
      <c r="QAG23"/>
      <c r="QAH23"/>
      <c r="QAI23"/>
      <c r="QAJ23"/>
      <c r="QAK23"/>
      <c r="QAL23"/>
      <c r="QAM23"/>
      <c r="QAN23"/>
      <c r="QAO23"/>
      <c r="QAP23"/>
      <c r="QAQ23"/>
      <c r="QAR23"/>
      <c r="QAS23"/>
      <c r="QAT23"/>
      <c r="QAU23"/>
      <c r="QAV23"/>
      <c r="QAW23"/>
      <c r="QAX23"/>
      <c r="QAY23"/>
      <c r="QAZ23"/>
      <c r="QBA23"/>
      <c r="QBB23"/>
      <c r="QBC23"/>
      <c r="QBD23"/>
      <c r="QBE23"/>
      <c r="QBF23"/>
      <c r="QBG23"/>
      <c r="QBH23"/>
      <c r="QBI23"/>
      <c r="QBJ23"/>
      <c r="QBK23"/>
      <c r="QBL23"/>
      <c r="QBM23"/>
      <c r="QBN23"/>
      <c r="QBO23"/>
      <c r="QBP23"/>
      <c r="QBQ23"/>
      <c r="QBR23"/>
      <c r="QBS23"/>
      <c r="QBT23"/>
      <c r="QBU23"/>
      <c r="QBV23"/>
      <c r="QBW23"/>
      <c r="QBX23"/>
      <c r="QBY23"/>
      <c r="QBZ23"/>
      <c r="QCA23"/>
      <c r="QCB23"/>
      <c r="QCC23"/>
      <c r="QCD23"/>
      <c r="QCE23"/>
      <c r="QCF23"/>
      <c r="QCG23"/>
      <c r="QCH23"/>
      <c r="QCI23"/>
      <c r="QCJ23"/>
      <c r="QCK23"/>
      <c r="QCL23"/>
      <c r="QCM23"/>
      <c r="QCN23"/>
      <c r="QCO23"/>
      <c r="QCP23"/>
      <c r="QCQ23"/>
      <c r="QCR23"/>
      <c r="QCS23"/>
      <c r="QCT23"/>
      <c r="QCU23"/>
      <c r="QCV23"/>
      <c r="QCW23"/>
      <c r="QCX23"/>
      <c r="QCY23"/>
      <c r="QCZ23"/>
      <c r="QDA23"/>
      <c r="QDB23"/>
      <c r="QDC23"/>
      <c r="QDD23"/>
      <c r="QDE23"/>
      <c r="QDF23"/>
      <c r="QDG23"/>
      <c r="QDH23"/>
      <c r="QDI23"/>
      <c r="QDJ23"/>
      <c r="QDK23"/>
      <c r="QDL23"/>
      <c r="QDM23"/>
      <c r="QDN23"/>
      <c r="QDO23"/>
      <c r="QDP23"/>
      <c r="QDQ23"/>
      <c r="QDR23"/>
      <c r="QDS23"/>
      <c r="QDT23"/>
      <c r="QDU23"/>
      <c r="QDV23"/>
      <c r="QDW23"/>
      <c r="QDX23"/>
      <c r="QDY23"/>
      <c r="QDZ23"/>
      <c r="QEA23"/>
      <c r="QEB23"/>
      <c r="QEC23"/>
      <c r="QED23"/>
      <c r="QEE23"/>
      <c r="QEF23"/>
      <c r="QEG23"/>
      <c r="QEH23"/>
      <c r="QEI23"/>
      <c r="QEJ23"/>
      <c r="QEK23"/>
      <c r="QEL23"/>
      <c r="QEM23"/>
      <c r="QEN23"/>
      <c r="QEO23"/>
      <c r="QEP23"/>
      <c r="QEQ23"/>
      <c r="QER23"/>
      <c r="QES23"/>
      <c r="QET23"/>
      <c r="QEU23"/>
      <c r="QEV23"/>
      <c r="QEW23"/>
      <c r="QEX23"/>
      <c r="QEY23"/>
      <c r="QEZ23"/>
      <c r="QFA23"/>
      <c r="QFB23"/>
      <c r="QFC23"/>
      <c r="QFD23"/>
      <c r="QFE23"/>
      <c r="QFF23"/>
      <c r="QFG23"/>
      <c r="QFH23"/>
      <c r="QFI23"/>
      <c r="QFJ23"/>
      <c r="QFK23"/>
      <c r="QFL23"/>
      <c r="QFM23"/>
      <c r="QFN23"/>
      <c r="QFO23"/>
      <c r="QFP23"/>
      <c r="QFQ23"/>
      <c r="QFR23"/>
      <c r="QFS23"/>
      <c r="QFT23"/>
      <c r="QFU23"/>
      <c r="QFV23"/>
      <c r="QFW23"/>
      <c r="QFX23"/>
      <c r="QFY23"/>
      <c r="QFZ23"/>
      <c r="QGA23"/>
      <c r="QGB23"/>
      <c r="QGC23"/>
      <c r="QGD23"/>
      <c r="QGE23"/>
      <c r="QGF23"/>
      <c r="QGG23"/>
      <c r="QGH23"/>
      <c r="QGI23"/>
      <c r="QGJ23"/>
      <c r="QGK23"/>
      <c r="QGL23"/>
      <c r="QGM23"/>
      <c r="QGN23"/>
      <c r="QGO23"/>
      <c r="QGP23"/>
      <c r="QGQ23"/>
      <c r="QGR23"/>
      <c r="QGS23"/>
      <c r="QGT23"/>
      <c r="QGU23"/>
      <c r="QGV23"/>
      <c r="QGW23"/>
      <c r="QGX23"/>
      <c r="QGY23"/>
      <c r="QGZ23"/>
      <c r="QHA23"/>
      <c r="QHB23"/>
      <c r="QHC23"/>
      <c r="QHD23"/>
      <c r="QHE23"/>
      <c r="QHF23"/>
      <c r="QHG23"/>
      <c r="QHH23"/>
      <c r="QHI23"/>
      <c r="QHJ23"/>
      <c r="QHK23"/>
      <c r="QHL23"/>
      <c r="QHM23"/>
      <c r="QHN23"/>
      <c r="QHO23"/>
      <c r="QHP23"/>
      <c r="QHQ23"/>
      <c r="QHR23"/>
      <c r="QHS23"/>
      <c r="QHT23"/>
      <c r="QHU23"/>
      <c r="QHV23"/>
      <c r="QHW23"/>
      <c r="QHX23"/>
      <c r="QHY23"/>
      <c r="QHZ23"/>
      <c r="QIA23"/>
      <c r="QIB23"/>
      <c r="QIC23"/>
      <c r="QID23"/>
      <c r="QIE23"/>
      <c r="QIF23"/>
      <c r="QIG23"/>
      <c r="QIH23"/>
      <c r="QII23"/>
      <c r="QIJ23"/>
      <c r="QIK23"/>
      <c r="QIL23"/>
      <c r="QIM23"/>
      <c r="QIN23"/>
      <c r="QIO23"/>
      <c r="QIP23"/>
      <c r="QIQ23"/>
      <c r="QIR23"/>
      <c r="QIS23"/>
      <c r="QIT23"/>
      <c r="QIU23"/>
      <c r="QIV23"/>
      <c r="QIW23"/>
      <c r="QIX23"/>
      <c r="QIY23"/>
      <c r="QIZ23"/>
      <c r="QJA23"/>
      <c r="QJB23"/>
      <c r="QJC23"/>
      <c r="QJD23"/>
      <c r="QJE23"/>
      <c r="QJF23"/>
      <c r="QJG23"/>
      <c r="QJH23"/>
      <c r="QJI23"/>
      <c r="QJJ23"/>
      <c r="QJK23"/>
      <c r="QJL23"/>
      <c r="QJM23"/>
      <c r="QJN23"/>
      <c r="QJO23"/>
      <c r="QJP23"/>
      <c r="QJQ23"/>
      <c r="QJR23"/>
      <c r="QJS23"/>
      <c r="QJT23"/>
      <c r="QJU23"/>
      <c r="QJV23"/>
      <c r="QJW23"/>
      <c r="QJX23"/>
      <c r="QJY23"/>
      <c r="QJZ23"/>
      <c r="QKA23"/>
      <c r="QKB23"/>
      <c r="QKC23"/>
      <c r="QKD23"/>
      <c r="QKE23"/>
      <c r="QKF23"/>
      <c r="QKG23"/>
      <c r="QKH23"/>
      <c r="QKI23"/>
      <c r="QKJ23"/>
      <c r="QKK23"/>
      <c r="QKL23"/>
      <c r="QKM23"/>
      <c r="QKN23"/>
      <c r="QKO23"/>
      <c r="QKP23"/>
      <c r="QKQ23"/>
      <c r="QKR23"/>
      <c r="QKS23"/>
      <c r="QKT23"/>
      <c r="QKU23"/>
      <c r="QKV23"/>
      <c r="QKW23"/>
      <c r="QKX23"/>
      <c r="QKY23"/>
      <c r="QKZ23"/>
      <c r="QLA23"/>
      <c r="QLB23"/>
      <c r="QLC23"/>
      <c r="QLD23"/>
      <c r="QLE23"/>
      <c r="QLF23"/>
      <c r="QLG23"/>
      <c r="QLH23"/>
      <c r="QLI23"/>
      <c r="QLJ23"/>
      <c r="QLK23"/>
      <c r="QLL23"/>
      <c r="QLM23"/>
      <c r="QLN23"/>
      <c r="QLO23"/>
      <c r="QLP23"/>
      <c r="QLQ23"/>
      <c r="QLR23"/>
      <c r="QLS23"/>
      <c r="QLT23"/>
      <c r="QLU23"/>
      <c r="QLV23"/>
      <c r="QLW23"/>
      <c r="QLX23"/>
      <c r="QLY23"/>
      <c r="QLZ23"/>
      <c r="QMA23"/>
      <c r="QMB23"/>
      <c r="QMC23"/>
      <c r="QMD23"/>
      <c r="QME23"/>
      <c r="QMF23"/>
      <c r="QMG23"/>
      <c r="QMH23"/>
      <c r="QMI23"/>
      <c r="QMJ23"/>
      <c r="QMK23"/>
      <c r="QML23"/>
      <c r="QMM23"/>
      <c r="QMN23"/>
      <c r="QMO23"/>
      <c r="QMP23"/>
      <c r="QMQ23"/>
      <c r="QMR23"/>
      <c r="QMS23"/>
      <c r="QMT23"/>
      <c r="QMU23"/>
      <c r="QMV23"/>
      <c r="QMW23"/>
      <c r="QMX23"/>
      <c r="QMY23"/>
      <c r="QMZ23"/>
      <c r="QNA23"/>
      <c r="QNB23"/>
      <c r="QNC23"/>
      <c r="QND23"/>
      <c r="QNE23"/>
      <c r="QNF23"/>
      <c r="QNG23"/>
      <c r="QNH23"/>
      <c r="QNI23"/>
      <c r="QNJ23"/>
      <c r="QNK23"/>
      <c r="QNL23"/>
      <c r="QNM23"/>
      <c r="QNN23"/>
      <c r="QNO23"/>
      <c r="QNP23"/>
      <c r="QNQ23"/>
      <c r="QNR23"/>
      <c r="QNS23"/>
      <c r="QNT23"/>
      <c r="QNU23"/>
      <c r="QNV23"/>
      <c r="QNW23"/>
      <c r="QNX23"/>
      <c r="QNY23"/>
      <c r="QNZ23"/>
      <c r="QOA23"/>
      <c r="QOB23"/>
      <c r="QOC23"/>
      <c r="QOD23"/>
      <c r="QOE23"/>
      <c r="QOF23"/>
      <c r="QOG23"/>
      <c r="QOH23"/>
      <c r="QOI23"/>
      <c r="QOJ23"/>
      <c r="QOK23"/>
      <c r="QOL23"/>
      <c r="QOM23"/>
      <c r="QON23"/>
      <c r="QOO23"/>
      <c r="QOP23"/>
      <c r="QOQ23"/>
      <c r="QOR23"/>
      <c r="QOS23"/>
      <c r="QOT23"/>
      <c r="QOU23"/>
      <c r="QOV23"/>
      <c r="QOW23"/>
      <c r="QOX23"/>
      <c r="QOY23"/>
      <c r="QOZ23"/>
      <c r="QPA23"/>
      <c r="QPB23"/>
      <c r="QPC23"/>
      <c r="QPD23"/>
      <c r="QPE23"/>
      <c r="QPF23"/>
      <c r="QPG23"/>
      <c r="QPH23"/>
      <c r="QPI23"/>
      <c r="QPJ23"/>
      <c r="QPK23"/>
      <c r="QPL23"/>
      <c r="QPM23"/>
      <c r="QPN23"/>
      <c r="QPO23"/>
      <c r="QPP23"/>
      <c r="QPQ23"/>
      <c r="QPR23"/>
      <c r="QPS23"/>
      <c r="QPT23"/>
      <c r="QPU23"/>
      <c r="QPV23"/>
      <c r="QPW23"/>
      <c r="QPX23"/>
      <c r="QPY23"/>
      <c r="QPZ23"/>
      <c r="QQA23"/>
      <c r="QQB23"/>
      <c r="QQC23"/>
      <c r="QQD23"/>
      <c r="QQE23"/>
      <c r="QQF23"/>
      <c r="QQG23"/>
      <c r="QQH23"/>
      <c r="QQI23"/>
      <c r="QQJ23"/>
      <c r="QQK23"/>
      <c r="QQL23"/>
      <c r="QQM23"/>
      <c r="QQN23"/>
      <c r="QQO23"/>
      <c r="QQP23"/>
      <c r="QQQ23"/>
      <c r="QQR23"/>
      <c r="QQS23"/>
      <c r="QQT23"/>
      <c r="QQU23"/>
      <c r="QQV23"/>
      <c r="QQW23"/>
      <c r="QQX23"/>
      <c r="QQY23"/>
      <c r="QQZ23"/>
      <c r="QRA23"/>
      <c r="QRB23"/>
      <c r="QRC23"/>
      <c r="QRD23"/>
      <c r="QRE23"/>
      <c r="QRF23"/>
      <c r="QRG23"/>
      <c r="QRH23"/>
      <c r="QRI23"/>
      <c r="QRJ23"/>
      <c r="QRK23"/>
      <c r="QRL23"/>
      <c r="QRM23"/>
      <c r="QRN23"/>
      <c r="QRO23"/>
      <c r="QRP23"/>
      <c r="QRQ23"/>
      <c r="QRR23"/>
      <c r="QRS23"/>
      <c r="QRT23"/>
      <c r="QRU23"/>
      <c r="QRV23"/>
      <c r="QRW23"/>
      <c r="QRX23"/>
      <c r="QRY23"/>
      <c r="QRZ23"/>
      <c r="QSA23"/>
      <c r="QSB23"/>
      <c r="QSC23"/>
      <c r="QSD23"/>
      <c r="QSE23"/>
      <c r="QSF23"/>
      <c r="QSG23"/>
      <c r="QSH23"/>
      <c r="QSI23"/>
      <c r="QSJ23"/>
      <c r="QSK23"/>
      <c r="QSL23"/>
      <c r="QSM23"/>
      <c r="QSN23"/>
      <c r="QSO23"/>
      <c r="QSP23"/>
      <c r="QSQ23"/>
      <c r="QSR23"/>
      <c r="QSS23"/>
      <c r="QST23"/>
      <c r="QSU23"/>
      <c r="QSV23"/>
      <c r="QSW23"/>
      <c r="QSX23"/>
      <c r="QSY23"/>
      <c r="QSZ23"/>
      <c r="QTA23"/>
      <c r="QTB23"/>
      <c r="QTC23"/>
      <c r="QTD23"/>
      <c r="QTE23"/>
      <c r="QTF23"/>
      <c r="QTG23"/>
      <c r="QTH23"/>
      <c r="QTI23"/>
      <c r="QTJ23"/>
      <c r="QTK23"/>
      <c r="QTL23"/>
      <c r="QTM23"/>
      <c r="QTN23"/>
      <c r="QTO23"/>
      <c r="QTP23"/>
      <c r="QTQ23"/>
      <c r="QTR23"/>
      <c r="QTS23"/>
      <c r="QTT23"/>
      <c r="QTU23"/>
      <c r="QTV23"/>
      <c r="QTW23"/>
      <c r="QTX23"/>
      <c r="QTY23"/>
      <c r="QTZ23"/>
      <c r="QUA23"/>
      <c r="QUB23"/>
      <c r="QUC23"/>
      <c r="QUD23"/>
      <c r="QUE23"/>
      <c r="QUF23"/>
      <c r="QUG23"/>
      <c r="QUH23"/>
      <c r="QUI23"/>
      <c r="QUJ23"/>
      <c r="QUK23"/>
      <c r="QUL23"/>
      <c r="QUM23"/>
      <c r="QUN23"/>
      <c r="QUO23"/>
      <c r="QUP23"/>
      <c r="QUQ23"/>
      <c r="QUR23"/>
      <c r="QUS23"/>
      <c r="QUT23"/>
      <c r="QUU23"/>
      <c r="QUV23"/>
      <c r="QUW23"/>
      <c r="QUX23"/>
      <c r="QUY23"/>
      <c r="QUZ23"/>
      <c r="QVA23"/>
      <c r="QVB23"/>
      <c r="QVC23"/>
      <c r="QVD23"/>
      <c r="QVE23"/>
      <c r="QVF23"/>
      <c r="QVG23"/>
      <c r="QVH23"/>
      <c r="QVI23"/>
      <c r="QVJ23"/>
      <c r="QVK23"/>
      <c r="QVL23"/>
      <c r="QVM23"/>
      <c r="QVN23"/>
      <c r="QVO23"/>
      <c r="QVP23"/>
      <c r="QVQ23"/>
      <c r="QVR23"/>
      <c r="QVS23"/>
      <c r="QVT23"/>
      <c r="QVU23"/>
      <c r="QVV23"/>
      <c r="QVW23"/>
      <c r="QVX23"/>
      <c r="QVY23"/>
      <c r="QVZ23"/>
      <c r="QWA23"/>
      <c r="QWB23"/>
      <c r="QWC23"/>
      <c r="QWD23"/>
      <c r="QWE23"/>
      <c r="QWF23"/>
      <c r="QWG23"/>
      <c r="QWH23"/>
      <c r="QWI23"/>
      <c r="QWJ23"/>
      <c r="QWK23"/>
      <c r="QWL23"/>
      <c r="QWM23"/>
      <c r="QWN23"/>
      <c r="QWO23"/>
      <c r="QWP23"/>
      <c r="QWQ23"/>
      <c r="QWR23"/>
      <c r="QWS23"/>
      <c r="QWT23"/>
      <c r="QWU23"/>
      <c r="QWV23"/>
      <c r="QWW23"/>
      <c r="QWX23"/>
      <c r="QWY23"/>
      <c r="QWZ23"/>
      <c r="QXA23"/>
      <c r="QXB23"/>
      <c r="QXC23"/>
      <c r="QXD23"/>
      <c r="QXE23"/>
      <c r="QXF23"/>
      <c r="QXG23"/>
      <c r="QXH23"/>
      <c r="QXI23"/>
      <c r="QXJ23"/>
      <c r="QXK23"/>
      <c r="QXL23"/>
      <c r="QXM23"/>
      <c r="QXN23"/>
      <c r="QXO23"/>
      <c r="QXP23"/>
      <c r="QXQ23"/>
      <c r="QXR23"/>
      <c r="QXS23"/>
      <c r="QXT23"/>
      <c r="QXU23"/>
      <c r="QXV23"/>
      <c r="QXW23"/>
      <c r="QXX23"/>
      <c r="QXY23"/>
      <c r="QXZ23"/>
      <c r="QYA23"/>
      <c r="QYB23"/>
      <c r="QYC23"/>
      <c r="QYD23"/>
      <c r="QYE23"/>
      <c r="QYF23"/>
      <c r="QYG23"/>
      <c r="QYH23"/>
      <c r="QYI23"/>
      <c r="QYJ23"/>
      <c r="QYK23"/>
      <c r="QYL23"/>
      <c r="QYM23"/>
      <c r="QYN23"/>
      <c r="QYO23"/>
      <c r="QYP23"/>
      <c r="QYQ23"/>
      <c r="QYR23"/>
      <c r="QYS23"/>
      <c r="QYT23"/>
      <c r="QYU23"/>
      <c r="QYV23"/>
      <c r="QYW23"/>
      <c r="QYX23"/>
      <c r="QYY23"/>
      <c r="QYZ23"/>
      <c r="QZA23"/>
      <c r="QZB23"/>
      <c r="QZC23"/>
      <c r="QZD23"/>
      <c r="QZE23"/>
      <c r="QZF23"/>
      <c r="QZG23"/>
      <c r="QZH23"/>
      <c r="QZI23"/>
      <c r="QZJ23"/>
      <c r="QZK23"/>
      <c r="QZL23"/>
      <c r="QZM23"/>
      <c r="QZN23"/>
      <c r="QZO23"/>
      <c r="QZP23"/>
      <c r="QZQ23"/>
      <c r="QZR23"/>
      <c r="QZS23"/>
      <c r="QZT23"/>
      <c r="QZU23"/>
      <c r="QZV23"/>
      <c r="QZW23"/>
      <c r="QZX23"/>
      <c r="QZY23"/>
      <c r="QZZ23"/>
      <c r="RAA23"/>
      <c r="RAB23"/>
      <c r="RAC23"/>
      <c r="RAD23"/>
      <c r="RAE23"/>
      <c r="RAF23"/>
      <c r="RAG23"/>
      <c r="RAH23"/>
      <c r="RAI23"/>
      <c r="RAJ23"/>
      <c r="RAK23"/>
      <c r="RAL23"/>
      <c r="RAM23"/>
      <c r="RAN23"/>
      <c r="RAO23"/>
      <c r="RAP23"/>
      <c r="RAQ23"/>
      <c r="RAR23"/>
      <c r="RAS23"/>
      <c r="RAT23"/>
      <c r="RAU23"/>
      <c r="RAV23"/>
      <c r="RAW23"/>
      <c r="RAX23"/>
      <c r="RAY23"/>
      <c r="RAZ23"/>
      <c r="RBA23"/>
      <c r="RBB23"/>
      <c r="RBC23"/>
      <c r="RBD23"/>
      <c r="RBE23"/>
      <c r="RBF23"/>
      <c r="RBG23"/>
      <c r="RBH23"/>
      <c r="RBI23"/>
      <c r="RBJ23"/>
      <c r="RBK23"/>
      <c r="RBL23"/>
      <c r="RBM23"/>
      <c r="RBN23"/>
      <c r="RBO23"/>
      <c r="RBP23"/>
      <c r="RBQ23"/>
      <c r="RBR23"/>
      <c r="RBS23"/>
      <c r="RBT23"/>
      <c r="RBU23"/>
      <c r="RBV23"/>
      <c r="RBW23"/>
      <c r="RBX23"/>
      <c r="RBY23"/>
      <c r="RBZ23"/>
      <c r="RCA23"/>
      <c r="RCB23"/>
      <c r="RCC23"/>
      <c r="RCD23"/>
      <c r="RCE23"/>
      <c r="RCF23"/>
      <c r="RCG23"/>
      <c r="RCH23"/>
      <c r="RCI23"/>
      <c r="RCJ23"/>
      <c r="RCK23"/>
      <c r="RCL23"/>
      <c r="RCM23"/>
      <c r="RCN23"/>
      <c r="RCO23"/>
      <c r="RCP23"/>
      <c r="RCQ23"/>
      <c r="RCR23"/>
      <c r="RCS23"/>
      <c r="RCT23"/>
      <c r="RCU23"/>
      <c r="RCV23"/>
      <c r="RCW23"/>
      <c r="RCX23"/>
      <c r="RCY23"/>
      <c r="RCZ23"/>
      <c r="RDA23"/>
      <c r="RDB23"/>
      <c r="RDC23"/>
      <c r="RDD23"/>
      <c r="RDE23"/>
      <c r="RDF23"/>
      <c r="RDG23"/>
      <c r="RDH23"/>
      <c r="RDI23"/>
      <c r="RDJ23"/>
      <c r="RDK23"/>
      <c r="RDL23"/>
      <c r="RDM23"/>
      <c r="RDN23"/>
      <c r="RDO23"/>
      <c r="RDP23"/>
      <c r="RDQ23"/>
      <c r="RDR23"/>
      <c r="RDS23"/>
      <c r="RDT23"/>
      <c r="RDU23"/>
      <c r="RDV23"/>
      <c r="RDW23"/>
      <c r="RDX23"/>
      <c r="RDY23"/>
      <c r="RDZ23"/>
      <c r="REA23"/>
      <c r="REB23"/>
      <c r="REC23"/>
      <c r="RED23"/>
      <c r="REE23"/>
      <c r="REF23"/>
      <c r="REG23"/>
      <c r="REH23"/>
      <c r="REI23"/>
      <c r="REJ23"/>
      <c r="REK23"/>
      <c r="REL23"/>
      <c r="REM23"/>
      <c r="REN23"/>
      <c r="REO23"/>
      <c r="REP23"/>
      <c r="REQ23"/>
      <c r="RER23"/>
      <c r="RES23"/>
      <c r="RET23"/>
      <c r="REU23"/>
      <c r="REV23"/>
      <c r="REW23"/>
      <c r="REX23"/>
      <c r="REY23"/>
      <c r="REZ23"/>
      <c r="RFA23"/>
      <c r="RFB23"/>
      <c r="RFC23"/>
      <c r="RFD23"/>
      <c r="RFE23"/>
      <c r="RFF23"/>
      <c r="RFG23"/>
      <c r="RFH23"/>
      <c r="RFI23"/>
      <c r="RFJ23"/>
      <c r="RFK23"/>
      <c r="RFL23"/>
      <c r="RFM23"/>
      <c r="RFN23"/>
      <c r="RFO23"/>
      <c r="RFP23"/>
      <c r="RFQ23"/>
      <c r="RFR23"/>
      <c r="RFS23"/>
      <c r="RFT23"/>
      <c r="RFU23"/>
      <c r="RFV23"/>
      <c r="RFW23"/>
      <c r="RFX23"/>
      <c r="RFY23"/>
      <c r="RFZ23"/>
      <c r="RGA23"/>
      <c r="RGB23"/>
      <c r="RGC23"/>
      <c r="RGD23"/>
      <c r="RGE23"/>
      <c r="RGF23"/>
      <c r="RGG23"/>
      <c r="RGH23"/>
      <c r="RGI23"/>
      <c r="RGJ23"/>
      <c r="RGK23"/>
      <c r="RGL23"/>
      <c r="RGM23"/>
      <c r="RGN23"/>
      <c r="RGO23"/>
      <c r="RGP23"/>
      <c r="RGQ23"/>
      <c r="RGR23"/>
      <c r="RGS23"/>
      <c r="RGT23"/>
      <c r="RGU23"/>
      <c r="RGV23"/>
      <c r="RGW23"/>
      <c r="RGX23"/>
      <c r="RGY23"/>
      <c r="RGZ23"/>
      <c r="RHA23"/>
      <c r="RHB23"/>
      <c r="RHC23"/>
      <c r="RHD23"/>
      <c r="RHE23"/>
      <c r="RHF23"/>
      <c r="RHG23"/>
      <c r="RHH23"/>
      <c r="RHI23"/>
      <c r="RHJ23"/>
      <c r="RHK23"/>
      <c r="RHL23"/>
      <c r="RHM23"/>
      <c r="RHN23"/>
      <c r="RHO23"/>
      <c r="RHP23"/>
      <c r="RHQ23"/>
      <c r="RHR23"/>
      <c r="RHS23"/>
      <c r="RHT23"/>
      <c r="RHU23"/>
      <c r="RHV23"/>
      <c r="RHW23"/>
      <c r="RHX23"/>
      <c r="RHY23"/>
      <c r="RHZ23"/>
      <c r="RIA23"/>
      <c r="RIB23"/>
      <c r="RIC23"/>
      <c r="RID23"/>
      <c r="RIE23"/>
      <c r="RIF23"/>
      <c r="RIG23"/>
      <c r="RIH23"/>
      <c r="RII23"/>
      <c r="RIJ23"/>
      <c r="RIK23"/>
      <c r="RIL23"/>
      <c r="RIM23"/>
      <c r="RIN23"/>
      <c r="RIO23"/>
      <c r="RIP23"/>
      <c r="RIQ23"/>
      <c r="RIR23"/>
      <c r="RIS23"/>
      <c r="RIT23"/>
      <c r="RIU23"/>
      <c r="RIV23"/>
      <c r="RIW23"/>
      <c r="RIX23"/>
      <c r="RIY23"/>
      <c r="RIZ23"/>
      <c r="RJA23"/>
      <c r="RJB23"/>
      <c r="RJC23"/>
      <c r="RJD23"/>
      <c r="RJE23"/>
      <c r="RJF23"/>
      <c r="RJG23"/>
      <c r="RJH23"/>
      <c r="RJI23"/>
      <c r="RJJ23"/>
      <c r="RJK23"/>
      <c r="RJL23"/>
      <c r="RJM23"/>
      <c r="RJN23"/>
      <c r="RJO23"/>
      <c r="RJP23"/>
      <c r="RJQ23"/>
      <c r="RJR23"/>
      <c r="RJS23"/>
      <c r="RJT23"/>
      <c r="RJU23"/>
      <c r="RJV23"/>
      <c r="RJW23"/>
      <c r="RJX23"/>
      <c r="RJY23"/>
      <c r="RJZ23"/>
      <c r="RKA23"/>
      <c r="RKB23"/>
      <c r="RKC23"/>
      <c r="RKD23"/>
      <c r="RKE23"/>
      <c r="RKF23"/>
      <c r="RKG23"/>
      <c r="RKH23"/>
      <c r="RKI23"/>
      <c r="RKJ23"/>
      <c r="RKK23"/>
      <c r="RKL23"/>
      <c r="RKM23"/>
      <c r="RKN23"/>
      <c r="RKO23"/>
      <c r="RKP23"/>
      <c r="RKQ23"/>
      <c r="RKR23"/>
      <c r="RKS23"/>
      <c r="RKT23"/>
      <c r="RKU23"/>
      <c r="RKV23"/>
      <c r="RKW23"/>
      <c r="RKX23"/>
      <c r="RKY23"/>
      <c r="RKZ23"/>
      <c r="RLA23"/>
      <c r="RLB23"/>
      <c r="RLC23"/>
      <c r="RLD23"/>
      <c r="RLE23"/>
      <c r="RLF23"/>
      <c r="RLG23"/>
      <c r="RLH23"/>
      <c r="RLI23"/>
      <c r="RLJ23"/>
      <c r="RLK23"/>
      <c r="RLL23"/>
      <c r="RLM23"/>
      <c r="RLN23"/>
      <c r="RLO23"/>
      <c r="RLP23"/>
      <c r="RLQ23"/>
      <c r="RLR23"/>
      <c r="RLS23"/>
      <c r="RLT23"/>
      <c r="RLU23"/>
      <c r="RLV23"/>
      <c r="RLW23"/>
      <c r="RLX23"/>
      <c r="RLY23"/>
      <c r="RLZ23"/>
      <c r="RMA23"/>
      <c r="RMB23"/>
      <c r="RMC23"/>
      <c r="RMD23"/>
      <c r="RME23"/>
      <c r="RMF23"/>
      <c r="RMG23"/>
      <c r="RMH23"/>
      <c r="RMI23"/>
      <c r="RMJ23"/>
      <c r="RMK23"/>
      <c r="RML23"/>
      <c r="RMM23"/>
      <c r="RMN23"/>
      <c r="RMO23"/>
      <c r="RMP23"/>
      <c r="RMQ23"/>
      <c r="RMR23"/>
      <c r="RMS23"/>
      <c r="RMT23"/>
      <c r="RMU23"/>
      <c r="RMV23"/>
      <c r="RMW23"/>
      <c r="RMX23"/>
      <c r="RMY23"/>
      <c r="RMZ23"/>
      <c r="RNA23"/>
      <c r="RNB23"/>
      <c r="RNC23"/>
      <c r="RND23"/>
      <c r="RNE23"/>
      <c r="RNF23"/>
      <c r="RNG23"/>
      <c r="RNH23"/>
      <c r="RNI23"/>
      <c r="RNJ23"/>
      <c r="RNK23"/>
      <c r="RNL23"/>
      <c r="RNM23"/>
      <c r="RNN23"/>
      <c r="RNO23"/>
      <c r="RNP23"/>
      <c r="RNQ23"/>
      <c r="RNR23"/>
      <c r="RNS23"/>
      <c r="RNT23"/>
      <c r="RNU23"/>
      <c r="RNV23"/>
      <c r="RNW23"/>
      <c r="RNX23"/>
      <c r="RNY23"/>
      <c r="RNZ23"/>
      <c r="ROA23"/>
      <c r="ROB23"/>
      <c r="ROC23"/>
      <c r="ROD23"/>
      <c r="ROE23"/>
      <c r="ROF23"/>
      <c r="ROG23"/>
      <c r="ROH23"/>
      <c r="ROI23"/>
      <c r="ROJ23"/>
      <c r="ROK23"/>
      <c r="ROL23"/>
      <c r="ROM23"/>
      <c r="RON23"/>
      <c r="ROO23"/>
      <c r="ROP23"/>
      <c r="ROQ23"/>
      <c r="ROR23"/>
      <c r="ROS23"/>
      <c r="ROT23"/>
      <c r="ROU23"/>
      <c r="ROV23"/>
      <c r="ROW23"/>
      <c r="ROX23"/>
      <c r="ROY23"/>
      <c r="ROZ23"/>
      <c r="RPA23"/>
      <c r="RPB23"/>
      <c r="RPC23"/>
      <c r="RPD23"/>
      <c r="RPE23"/>
      <c r="RPF23"/>
      <c r="RPG23"/>
      <c r="RPH23"/>
      <c r="RPI23"/>
      <c r="RPJ23"/>
      <c r="RPK23"/>
      <c r="RPL23"/>
      <c r="RPM23"/>
      <c r="RPN23"/>
      <c r="RPO23"/>
      <c r="RPP23"/>
      <c r="RPQ23"/>
      <c r="RPR23"/>
      <c r="RPS23"/>
      <c r="RPT23"/>
      <c r="RPU23"/>
      <c r="RPV23"/>
      <c r="RPW23"/>
      <c r="RPX23"/>
      <c r="RPY23"/>
      <c r="RPZ23"/>
      <c r="RQA23"/>
      <c r="RQB23"/>
      <c r="RQC23"/>
      <c r="RQD23"/>
      <c r="RQE23"/>
      <c r="RQF23"/>
      <c r="RQG23"/>
      <c r="RQH23"/>
      <c r="RQI23"/>
      <c r="RQJ23"/>
      <c r="RQK23"/>
      <c r="RQL23"/>
      <c r="RQM23"/>
      <c r="RQN23"/>
      <c r="RQO23"/>
      <c r="RQP23"/>
      <c r="RQQ23"/>
      <c r="RQR23"/>
      <c r="RQS23"/>
      <c r="RQT23"/>
      <c r="RQU23"/>
      <c r="RQV23"/>
      <c r="RQW23"/>
      <c r="RQX23"/>
      <c r="RQY23"/>
      <c r="RQZ23"/>
      <c r="RRA23"/>
      <c r="RRB23"/>
      <c r="RRC23"/>
      <c r="RRD23"/>
      <c r="RRE23"/>
      <c r="RRF23"/>
      <c r="RRG23"/>
      <c r="RRH23"/>
      <c r="RRI23"/>
      <c r="RRJ23"/>
      <c r="RRK23"/>
      <c r="RRL23"/>
      <c r="RRM23"/>
      <c r="RRN23"/>
      <c r="RRO23"/>
      <c r="RRP23"/>
      <c r="RRQ23"/>
      <c r="RRR23"/>
      <c r="RRS23"/>
      <c r="RRT23"/>
      <c r="RRU23"/>
      <c r="RRV23"/>
      <c r="RRW23"/>
      <c r="RRX23"/>
      <c r="RRY23"/>
      <c r="RRZ23"/>
      <c r="RSA23"/>
      <c r="RSB23"/>
      <c r="RSC23"/>
      <c r="RSD23"/>
      <c r="RSE23"/>
      <c r="RSF23"/>
      <c r="RSG23"/>
      <c r="RSH23"/>
      <c r="RSI23"/>
      <c r="RSJ23"/>
      <c r="RSK23"/>
      <c r="RSL23"/>
      <c r="RSM23"/>
      <c r="RSN23"/>
      <c r="RSO23"/>
      <c r="RSP23"/>
      <c r="RSQ23"/>
      <c r="RSR23"/>
      <c r="RSS23"/>
      <c r="RST23"/>
      <c r="RSU23"/>
      <c r="RSV23"/>
      <c r="RSW23"/>
      <c r="RSX23"/>
      <c r="RSY23"/>
      <c r="RSZ23"/>
      <c r="RTA23"/>
      <c r="RTB23"/>
      <c r="RTC23"/>
      <c r="RTD23"/>
      <c r="RTE23"/>
      <c r="RTF23"/>
      <c r="RTG23"/>
      <c r="RTH23"/>
      <c r="RTI23"/>
      <c r="RTJ23"/>
      <c r="RTK23"/>
      <c r="RTL23"/>
      <c r="RTM23"/>
      <c r="RTN23"/>
      <c r="RTO23"/>
      <c r="RTP23"/>
      <c r="RTQ23"/>
      <c r="RTR23"/>
      <c r="RTS23"/>
      <c r="RTT23"/>
      <c r="RTU23"/>
      <c r="RTV23"/>
      <c r="RTW23"/>
      <c r="RTX23"/>
      <c r="RTY23"/>
      <c r="RTZ23"/>
      <c r="RUA23"/>
      <c r="RUB23"/>
      <c r="RUC23"/>
      <c r="RUD23"/>
      <c r="RUE23"/>
      <c r="RUF23"/>
      <c r="RUG23"/>
      <c r="RUH23"/>
      <c r="RUI23"/>
      <c r="RUJ23"/>
      <c r="RUK23"/>
      <c r="RUL23"/>
      <c r="RUM23"/>
      <c r="RUN23"/>
      <c r="RUO23"/>
      <c r="RUP23"/>
      <c r="RUQ23"/>
      <c r="RUR23"/>
      <c r="RUS23"/>
      <c r="RUT23"/>
      <c r="RUU23"/>
      <c r="RUV23"/>
      <c r="RUW23"/>
      <c r="RUX23"/>
      <c r="RUY23"/>
      <c r="RUZ23"/>
      <c r="RVA23"/>
      <c r="RVB23"/>
      <c r="RVC23"/>
      <c r="RVD23"/>
      <c r="RVE23"/>
      <c r="RVF23"/>
      <c r="RVG23"/>
      <c r="RVH23"/>
      <c r="RVI23"/>
      <c r="RVJ23"/>
      <c r="RVK23"/>
      <c r="RVL23"/>
      <c r="RVM23"/>
      <c r="RVN23"/>
      <c r="RVO23"/>
      <c r="RVP23"/>
      <c r="RVQ23"/>
      <c r="RVR23"/>
      <c r="RVS23"/>
      <c r="RVT23"/>
      <c r="RVU23"/>
      <c r="RVV23"/>
      <c r="RVW23"/>
      <c r="RVX23"/>
      <c r="RVY23"/>
      <c r="RVZ23"/>
      <c r="RWA23"/>
      <c r="RWB23"/>
      <c r="RWC23"/>
      <c r="RWD23"/>
      <c r="RWE23"/>
      <c r="RWF23"/>
      <c r="RWG23"/>
      <c r="RWH23"/>
      <c r="RWI23"/>
      <c r="RWJ23"/>
      <c r="RWK23"/>
      <c r="RWL23"/>
      <c r="RWM23"/>
      <c r="RWN23"/>
      <c r="RWO23"/>
      <c r="RWP23"/>
      <c r="RWQ23"/>
      <c r="RWR23"/>
      <c r="RWS23"/>
      <c r="RWT23"/>
      <c r="RWU23"/>
      <c r="RWV23"/>
      <c r="RWW23"/>
      <c r="RWX23"/>
      <c r="RWY23"/>
      <c r="RWZ23"/>
      <c r="RXA23"/>
      <c r="RXB23"/>
      <c r="RXC23"/>
      <c r="RXD23"/>
      <c r="RXE23"/>
      <c r="RXF23"/>
      <c r="RXG23"/>
      <c r="RXH23"/>
      <c r="RXI23"/>
      <c r="RXJ23"/>
      <c r="RXK23"/>
      <c r="RXL23"/>
      <c r="RXM23"/>
      <c r="RXN23"/>
      <c r="RXO23"/>
      <c r="RXP23"/>
      <c r="RXQ23"/>
      <c r="RXR23"/>
      <c r="RXS23"/>
      <c r="RXT23"/>
      <c r="RXU23"/>
      <c r="RXV23"/>
      <c r="RXW23"/>
      <c r="RXX23"/>
      <c r="RXY23"/>
      <c r="RXZ23"/>
      <c r="RYA23"/>
      <c r="RYB23"/>
      <c r="RYC23"/>
      <c r="RYD23"/>
      <c r="RYE23"/>
      <c r="RYF23"/>
      <c r="RYG23"/>
      <c r="RYH23"/>
      <c r="RYI23"/>
      <c r="RYJ23"/>
      <c r="RYK23"/>
      <c r="RYL23"/>
      <c r="RYM23"/>
      <c r="RYN23"/>
      <c r="RYO23"/>
      <c r="RYP23"/>
      <c r="RYQ23"/>
      <c r="RYR23"/>
      <c r="RYS23"/>
      <c r="RYT23"/>
      <c r="RYU23"/>
      <c r="RYV23"/>
      <c r="RYW23"/>
      <c r="RYX23"/>
      <c r="RYY23"/>
      <c r="RYZ23"/>
      <c r="RZA23"/>
      <c r="RZB23"/>
      <c r="RZC23"/>
      <c r="RZD23"/>
      <c r="RZE23"/>
      <c r="RZF23"/>
      <c r="RZG23"/>
      <c r="RZH23"/>
      <c r="RZI23"/>
      <c r="RZJ23"/>
      <c r="RZK23"/>
      <c r="RZL23"/>
      <c r="RZM23"/>
      <c r="RZN23"/>
      <c r="RZO23"/>
      <c r="RZP23"/>
      <c r="RZQ23"/>
      <c r="RZR23"/>
      <c r="RZS23"/>
      <c r="RZT23"/>
      <c r="RZU23"/>
      <c r="RZV23"/>
      <c r="RZW23"/>
      <c r="RZX23"/>
      <c r="RZY23"/>
      <c r="RZZ23"/>
      <c r="SAA23"/>
      <c r="SAB23"/>
      <c r="SAC23"/>
      <c r="SAD23"/>
      <c r="SAE23"/>
      <c r="SAF23"/>
      <c r="SAG23"/>
      <c r="SAH23"/>
      <c r="SAI23"/>
      <c r="SAJ23"/>
      <c r="SAK23"/>
      <c r="SAL23"/>
      <c r="SAM23"/>
      <c r="SAN23"/>
      <c r="SAO23"/>
      <c r="SAP23"/>
      <c r="SAQ23"/>
      <c r="SAR23"/>
      <c r="SAS23"/>
      <c r="SAT23"/>
      <c r="SAU23"/>
      <c r="SAV23"/>
      <c r="SAW23"/>
      <c r="SAX23"/>
      <c r="SAY23"/>
      <c r="SAZ23"/>
      <c r="SBA23"/>
      <c r="SBB23"/>
      <c r="SBC23"/>
      <c r="SBD23"/>
      <c r="SBE23"/>
      <c r="SBF23"/>
      <c r="SBG23"/>
      <c r="SBH23"/>
      <c r="SBI23"/>
      <c r="SBJ23"/>
      <c r="SBK23"/>
      <c r="SBL23"/>
      <c r="SBM23"/>
      <c r="SBN23"/>
      <c r="SBO23"/>
      <c r="SBP23"/>
      <c r="SBQ23"/>
      <c r="SBR23"/>
      <c r="SBS23"/>
      <c r="SBT23"/>
      <c r="SBU23"/>
      <c r="SBV23"/>
      <c r="SBW23"/>
      <c r="SBX23"/>
      <c r="SBY23"/>
      <c r="SBZ23"/>
      <c r="SCA23"/>
      <c r="SCB23"/>
      <c r="SCC23"/>
      <c r="SCD23"/>
      <c r="SCE23"/>
      <c r="SCF23"/>
      <c r="SCG23"/>
      <c r="SCH23"/>
      <c r="SCI23"/>
      <c r="SCJ23"/>
      <c r="SCK23"/>
      <c r="SCL23"/>
      <c r="SCM23"/>
      <c r="SCN23"/>
      <c r="SCO23"/>
      <c r="SCP23"/>
      <c r="SCQ23"/>
      <c r="SCR23"/>
      <c r="SCS23"/>
      <c r="SCT23"/>
      <c r="SCU23"/>
      <c r="SCV23"/>
      <c r="SCW23"/>
      <c r="SCX23"/>
      <c r="SCY23"/>
      <c r="SCZ23"/>
      <c r="SDA23"/>
      <c r="SDB23"/>
      <c r="SDC23"/>
      <c r="SDD23"/>
      <c r="SDE23"/>
      <c r="SDF23"/>
      <c r="SDG23"/>
      <c r="SDH23"/>
      <c r="SDI23"/>
      <c r="SDJ23"/>
      <c r="SDK23"/>
      <c r="SDL23"/>
      <c r="SDM23"/>
      <c r="SDN23"/>
      <c r="SDO23"/>
      <c r="SDP23"/>
      <c r="SDQ23"/>
      <c r="SDR23"/>
      <c r="SDS23"/>
      <c r="SDT23"/>
      <c r="SDU23"/>
      <c r="SDV23"/>
      <c r="SDW23"/>
      <c r="SDX23"/>
      <c r="SDY23"/>
      <c r="SDZ23"/>
      <c r="SEA23"/>
      <c r="SEB23"/>
      <c r="SEC23"/>
      <c r="SED23"/>
      <c r="SEE23"/>
      <c r="SEF23"/>
      <c r="SEG23"/>
      <c r="SEH23"/>
      <c r="SEI23"/>
      <c r="SEJ23"/>
      <c r="SEK23"/>
      <c r="SEL23"/>
      <c r="SEM23"/>
      <c r="SEN23"/>
      <c r="SEO23"/>
      <c r="SEP23"/>
      <c r="SEQ23"/>
      <c r="SER23"/>
      <c r="SES23"/>
      <c r="SET23"/>
      <c r="SEU23"/>
      <c r="SEV23"/>
      <c r="SEW23"/>
      <c r="SEX23"/>
      <c r="SEY23"/>
      <c r="SEZ23"/>
      <c r="SFA23"/>
      <c r="SFB23"/>
      <c r="SFC23"/>
      <c r="SFD23"/>
      <c r="SFE23"/>
      <c r="SFF23"/>
      <c r="SFG23"/>
      <c r="SFH23"/>
      <c r="SFI23"/>
      <c r="SFJ23"/>
      <c r="SFK23"/>
      <c r="SFL23"/>
      <c r="SFM23"/>
      <c r="SFN23"/>
      <c r="SFO23"/>
      <c r="SFP23"/>
      <c r="SFQ23"/>
      <c r="SFR23"/>
      <c r="SFS23"/>
      <c r="SFT23"/>
      <c r="SFU23"/>
      <c r="SFV23"/>
      <c r="SFW23"/>
      <c r="SFX23"/>
      <c r="SFY23"/>
      <c r="SFZ23"/>
      <c r="SGA23"/>
      <c r="SGB23"/>
      <c r="SGC23"/>
      <c r="SGD23"/>
      <c r="SGE23"/>
      <c r="SGF23"/>
      <c r="SGG23"/>
      <c r="SGH23"/>
      <c r="SGI23"/>
      <c r="SGJ23"/>
      <c r="SGK23"/>
      <c r="SGL23"/>
      <c r="SGM23"/>
      <c r="SGN23"/>
      <c r="SGO23"/>
      <c r="SGP23"/>
      <c r="SGQ23"/>
      <c r="SGR23"/>
      <c r="SGS23"/>
      <c r="SGT23"/>
      <c r="SGU23"/>
      <c r="SGV23"/>
      <c r="SGW23"/>
      <c r="SGX23"/>
      <c r="SGY23"/>
      <c r="SGZ23"/>
      <c r="SHA23"/>
      <c r="SHB23"/>
      <c r="SHC23"/>
      <c r="SHD23"/>
      <c r="SHE23"/>
      <c r="SHF23"/>
      <c r="SHG23"/>
      <c r="SHH23"/>
      <c r="SHI23"/>
      <c r="SHJ23"/>
      <c r="SHK23"/>
      <c r="SHL23"/>
      <c r="SHM23"/>
      <c r="SHN23"/>
      <c r="SHO23"/>
      <c r="SHP23"/>
      <c r="SHQ23"/>
      <c r="SHR23"/>
      <c r="SHS23"/>
      <c r="SHT23"/>
      <c r="SHU23"/>
      <c r="SHV23"/>
      <c r="SHW23"/>
      <c r="SHX23"/>
      <c r="SHY23"/>
      <c r="SHZ23"/>
      <c r="SIA23"/>
      <c r="SIB23"/>
      <c r="SIC23"/>
      <c r="SID23"/>
      <c r="SIE23"/>
      <c r="SIF23"/>
      <c r="SIG23"/>
      <c r="SIH23"/>
      <c r="SII23"/>
      <c r="SIJ23"/>
      <c r="SIK23"/>
      <c r="SIL23"/>
      <c r="SIM23"/>
      <c r="SIN23"/>
      <c r="SIO23"/>
      <c r="SIP23"/>
      <c r="SIQ23"/>
      <c r="SIR23"/>
      <c r="SIS23"/>
      <c r="SIT23"/>
      <c r="SIU23"/>
      <c r="SIV23"/>
      <c r="SIW23"/>
      <c r="SIX23"/>
      <c r="SIY23"/>
      <c r="SIZ23"/>
      <c r="SJA23"/>
      <c r="SJB23"/>
      <c r="SJC23"/>
      <c r="SJD23"/>
      <c r="SJE23"/>
      <c r="SJF23"/>
      <c r="SJG23"/>
      <c r="SJH23"/>
      <c r="SJI23"/>
      <c r="SJJ23"/>
      <c r="SJK23"/>
      <c r="SJL23"/>
      <c r="SJM23"/>
      <c r="SJN23"/>
      <c r="SJO23"/>
      <c r="SJP23"/>
      <c r="SJQ23"/>
      <c r="SJR23"/>
      <c r="SJS23"/>
      <c r="SJT23"/>
      <c r="SJU23"/>
      <c r="SJV23"/>
      <c r="SJW23"/>
      <c r="SJX23"/>
      <c r="SJY23"/>
      <c r="SJZ23"/>
      <c r="SKA23"/>
      <c r="SKB23"/>
      <c r="SKC23"/>
      <c r="SKD23"/>
      <c r="SKE23"/>
      <c r="SKF23"/>
      <c r="SKG23"/>
      <c r="SKH23"/>
      <c r="SKI23"/>
      <c r="SKJ23"/>
      <c r="SKK23"/>
      <c r="SKL23"/>
      <c r="SKM23"/>
      <c r="SKN23"/>
      <c r="SKO23"/>
      <c r="SKP23"/>
      <c r="SKQ23"/>
      <c r="SKR23"/>
      <c r="SKS23"/>
      <c r="SKT23"/>
      <c r="SKU23"/>
      <c r="SKV23"/>
      <c r="SKW23"/>
      <c r="SKX23"/>
      <c r="SKY23"/>
      <c r="SKZ23"/>
      <c r="SLA23"/>
      <c r="SLB23"/>
      <c r="SLC23"/>
      <c r="SLD23"/>
      <c r="SLE23"/>
      <c r="SLF23"/>
      <c r="SLG23"/>
      <c r="SLH23"/>
      <c r="SLI23"/>
      <c r="SLJ23"/>
      <c r="SLK23"/>
      <c r="SLL23"/>
      <c r="SLM23"/>
      <c r="SLN23"/>
      <c r="SLO23"/>
      <c r="SLP23"/>
      <c r="SLQ23"/>
      <c r="SLR23"/>
      <c r="SLS23"/>
      <c r="SLT23"/>
      <c r="SLU23"/>
      <c r="SLV23"/>
      <c r="SLW23"/>
      <c r="SLX23"/>
      <c r="SLY23"/>
      <c r="SLZ23"/>
      <c r="SMA23"/>
      <c r="SMB23"/>
      <c r="SMC23"/>
      <c r="SMD23"/>
      <c r="SME23"/>
      <c r="SMF23"/>
      <c r="SMG23"/>
      <c r="SMH23"/>
      <c r="SMI23"/>
      <c r="SMJ23"/>
      <c r="SMK23"/>
      <c r="SML23"/>
      <c r="SMM23"/>
      <c r="SMN23"/>
      <c r="SMO23"/>
      <c r="SMP23"/>
      <c r="SMQ23"/>
      <c r="SMR23"/>
      <c r="SMS23"/>
      <c r="SMT23"/>
      <c r="SMU23"/>
      <c r="SMV23"/>
      <c r="SMW23"/>
      <c r="SMX23"/>
      <c r="SMY23"/>
      <c r="SMZ23"/>
      <c r="SNA23"/>
      <c r="SNB23"/>
      <c r="SNC23"/>
      <c r="SND23"/>
      <c r="SNE23"/>
      <c r="SNF23"/>
      <c r="SNG23"/>
      <c r="SNH23"/>
      <c r="SNI23"/>
      <c r="SNJ23"/>
      <c r="SNK23"/>
      <c r="SNL23"/>
      <c r="SNM23"/>
      <c r="SNN23"/>
      <c r="SNO23"/>
      <c r="SNP23"/>
      <c r="SNQ23"/>
      <c r="SNR23"/>
      <c r="SNS23"/>
      <c r="SNT23"/>
      <c r="SNU23"/>
      <c r="SNV23"/>
      <c r="SNW23"/>
      <c r="SNX23"/>
      <c r="SNY23"/>
      <c r="SNZ23"/>
      <c r="SOA23"/>
      <c r="SOB23"/>
      <c r="SOC23"/>
      <c r="SOD23"/>
      <c r="SOE23"/>
      <c r="SOF23"/>
      <c r="SOG23"/>
      <c r="SOH23"/>
      <c r="SOI23"/>
      <c r="SOJ23"/>
      <c r="SOK23"/>
      <c r="SOL23"/>
      <c r="SOM23"/>
      <c r="SON23"/>
      <c r="SOO23"/>
      <c r="SOP23"/>
      <c r="SOQ23"/>
      <c r="SOR23"/>
      <c r="SOS23"/>
      <c r="SOT23"/>
      <c r="SOU23"/>
      <c r="SOV23"/>
      <c r="SOW23"/>
      <c r="SOX23"/>
      <c r="SOY23"/>
      <c r="SOZ23"/>
      <c r="SPA23"/>
      <c r="SPB23"/>
      <c r="SPC23"/>
      <c r="SPD23"/>
      <c r="SPE23"/>
      <c r="SPF23"/>
      <c r="SPG23"/>
      <c r="SPH23"/>
      <c r="SPI23"/>
      <c r="SPJ23"/>
      <c r="SPK23"/>
      <c r="SPL23"/>
      <c r="SPM23"/>
      <c r="SPN23"/>
      <c r="SPO23"/>
      <c r="SPP23"/>
      <c r="SPQ23"/>
      <c r="SPR23"/>
      <c r="SPS23"/>
      <c r="SPT23"/>
      <c r="SPU23"/>
      <c r="SPV23"/>
      <c r="SPW23"/>
      <c r="SPX23"/>
      <c r="SPY23"/>
      <c r="SPZ23"/>
      <c r="SQA23"/>
      <c r="SQB23"/>
      <c r="SQC23"/>
      <c r="SQD23"/>
      <c r="SQE23"/>
      <c r="SQF23"/>
      <c r="SQG23"/>
      <c r="SQH23"/>
      <c r="SQI23"/>
      <c r="SQJ23"/>
      <c r="SQK23"/>
      <c r="SQL23"/>
      <c r="SQM23"/>
      <c r="SQN23"/>
      <c r="SQO23"/>
      <c r="SQP23"/>
      <c r="SQQ23"/>
      <c r="SQR23"/>
      <c r="SQS23"/>
      <c r="SQT23"/>
      <c r="SQU23"/>
      <c r="SQV23"/>
      <c r="SQW23"/>
      <c r="SQX23"/>
      <c r="SQY23"/>
      <c r="SQZ23"/>
      <c r="SRA23"/>
      <c r="SRB23"/>
      <c r="SRC23"/>
      <c r="SRD23"/>
      <c r="SRE23"/>
      <c r="SRF23"/>
      <c r="SRG23"/>
      <c r="SRH23"/>
      <c r="SRI23"/>
      <c r="SRJ23"/>
      <c r="SRK23"/>
      <c r="SRL23"/>
      <c r="SRM23"/>
      <c r="SRN23"/>
      <c r="SRO23"/>
      <c r="SRP23"/>
      <c r="SRQ23"/>
      <c r="SRR23"/>
      <c r="SRS23"/>
      <c r="SRT23"/>
      <c r="SRU23"/>
      <c r="SRV23"/>
      <c r="SRW23"/>
      <c r="SRX23"/>
      <c r="SRY23"/>
      <c r="SRZ23"/>
      <c r="SSA23"/>
      <c r="SSB23"/>
      <c r="SSC23"/>
      <c r="SSD23"/>
      <c r="SSE23"/>
      <c r="SSF23"/>
      <c r="SSG23"/>
      <c r="SSH23"/>
      <c r="SSI23"/>
      <c r="SSJ23"/>
      <c r="SSK23"/>
      <c r="SSL23"/>
      <c r="SSM23"/>
      <c r="SSN23"/>
      <c r="SSO23"/>
      <c r="SSP23"/>
      <c r="SSQ23"/>
      <c r="SSR23"/>
      <c r="SSS23"/>
      <c r="SST23"/>
      <c r="SSU23"/>
      <c r="SSV23"/>
      <c r="SSW23"/>
      <c r="SSX23"/>
      <c r="SSY23"/>
      <c r="SSZ23"/>
      <c r="STA23"/>
      <c r="STB23"/>
      <c r="STC23"/>
      <c r="STD23"/>
      <c r="STE23"/>
      <c r="STF23"/>
      <c r="STG23"/>
      <c r="STH23"/>
      <c r="STI23"/>
      <c r="STJ23"/>
      <c r="STK23"/>
      <c r="STL23"/>
      <c r="STM23"/>
      <c r="STN23"/>
      <c r="STO23"/>
      <c r="STP23"/>
      <c r="STQ23"/>
      <c r="STR23"/>
      <c r="STS23"/>
      <c r="STT23"/>
      <c r="STU23"/>
      <c r="STV23"/>
      <c r="STW23"/>
      <c r="STX23"/>
      <c r="STY23"/>
      <c r="STZ23"/>
      <c r="SUA23"/>
      <c r="SUB23"/>
      <c r="SUC23"/>
      <c r="SUD23"/>
      <c r="SUE23"/>
      <c r="SUF23"/>
      <c r="SUG23"/>
      <c r="SUH23"/>
      <c r="SUI23"/>
      <c r="SUJ23"/>
      <c r="SUK23"/>
      <c r="SUL23"/>
      <c r="SUM23"/>
      <c r="SUN23"/>
      <c r="SUO23"/>
      <c r="SUP23"/>
      <c r="SUQ23"/>
      <c r="SUR23"/>
      <c r="SUS23"/>
      <c r="SUT23"/>
      <c r="SUU23"/>
      <c r="SUV23"/>
      <c r="SUW23"/>
      <c r="SUX23"/>
      <c r="SUY23"/>
      <c r="SUZ23"/>
      <c r="SVA23"/>
      <c r="SVB23"/>
      <c r="SVC23"/>
      <c r="SVD23"/>
      <c r="SVE23"/>
      <c r="SVF23"/>
      <c r="SVG23"/>
      <c r="SVH23"/>
      <c r="SVI23"/>
      <c r="SVJ23"/>
      <c r="SVK23"/>
      <c r="SVL23"/>
      <c r="SVM23"/>
      <c r="SVN23"/>
      <c r="SVO23"/>
      <c r="SVP23"/>
      <c r="SVQ23"/>
      <c r="SVR23"/>
      <c r="SVS23"/>
      <c r="SVT23"/>
      <c r="SVU23"/>
      <c r="SVV23"/>
      <c r="SVW23"/>
      <c r="SVX23"/>
      <c r="SVY23"/>
      <c r="SVZ23"/>
      <c r="SWA23"/>
      <c r="SWB23"/>
      <c r="SWC23"/>
      <c r="SWD23"/>
      <c r="SWE23"/>
      <c r="SWF23"/>
      <c r="SWG23"/>
      <c r="SWH23"/>
      <c r="SWI23"/>
      <c r="SWJ23"/>
      <c r="SWK23"/>
      <c r="SWL23"/>
      <c r="SWM23"/>
      <c r="SWN23"/>
      <c r="SWO23"/>
      <c r="SWP23"/>
      <c r="SWQ23"/>
      <c r="SWR23"/>
      <c r="SWS23"/>
      <c r="SWT23"/>
      <c r="SWU23"/>
      <c r="SWV23"/>
      <c r="SWW23"/>
      <c r="SWX23"/>
      <c r="SWY23"/>
      <c r="SWZ23"/>
      <c r="SXA23"/>
      <c r="SXB23"/>
      <c r="SXC23"/>
      <c r="SXD23"/>
      <c r="SXE23"/>
      <c r="SXF23"/>
      <c r="SXG23"/>
      <c r="SXH23"/>
      <c r="SXI23"/>
      <c r="SXJ23"/>
      <c r="SXK23"/>
      <c r="SXL23"/>
      <c r="SXM23"/>
      <c r="SXN23"/>
      <c r="SXO23"/>
      <c r="SXP23"/>
      <c r="SXQ23"/>
      <c r="SXR23"/>
      <c r="SXS23"/>
      <c r="SXT23"/>
      <c r="SXU23"/>
      <c r="SXV23"/>
      <c r="SXW23"/>
      <c r="SXX23"/>
      <c r="SXY23"/>
      <c r="SXZ23"/>
      <c r="SYA23"/>
      <c r="SYB23"/>
      <c r="SYC23"/>
      <c r="SYD23"/>
      <c r="SYE23"/>
      <c r="SYF23"/>
      <c r="SYG23"/>
      <c r="SYH23"/>
      <c r="SYI23"/>
      <c r="SYJ23"/>
      <c r="SYK23"/>
      <c r="SYL23"/>
      <c r="SYM23"/>
      <c r="SYN23"/>
      <c r="SYO23"/>
      <c r="SYP23"/>
      <c r="SYQ23"/>
      <c r="SYR23"/>
      <c r="SYS23"/>
      <c r="SYT23"/>
      <c r="SYU23"/>
      <c r="SYV23"/>
      <c r="SYW23"/>
      <c r="SYX23"/>
      <c r="SYY23"/>
      <c r="SYZ23"/>
      <c r="SZA23"/>
      <c r="SZB23"/>
      <c r="SZC23"/>
      <c r="SZD23"/>
      <c r="SZE23"/>
      <c r="SZF23"/>
      <c r="SZG23"/>
      <c r="SZH23"/>
      <c r="SZI23"/>
      <c r="SZJ23"/>
      <c r="SZK23"/>
      <c r="SZL23"/>
      <c r="SZM23"/>
      <c r="SZN23"/>
      <c r="SZO23"/>
      <c r="SZP23"/>
      <c r="SZQ23"/>
      <c r="SZR23"/>
      <c r="SZS23"/>
      <c r="SZT23"/>
      <c r="SZU23"/>
      <c r="SZV23"/>
      <c r="SZW23"/>
      <c r="SZX23"/>
      <c r="SZY23"/>
      <c r="SZZ23"/>
      <c r="TAA23"/>
      <c r="TAB23"/>
      <c r="TAC23"/>
      <c r="TAD23"/>
      <c r="TAE23"/>
      <c r="TAF23"/>
      <c r="TAG23"/>
      <c r="TAH23"/>
      <c r="TAI23"/>
      <c r="TAJ23"/>
      <c r="TAK23"/>
      <c r="TAL23"/>
      <c r="TAM23"/>
      <c r="TAN23"/>
      <c r="TAO23"/>
      <c r="TAP23"/>
      <c r="TAQ23"/>
      <c r="TAR23"/>
      <c r="TAS23"/>
      <c r="TAT23"/>
      <c r="TAU23"/>
      <c r="TAV23"/>
      <c r="TAW23"/>
      <c r="TAX23"/>
      <c r="TAY23"/>
      <c r="TAZ23"/>
      <c r="TBA23"/>
      <c r="TBB23"/>
      <c r="TBC23"/>
      <c r="TBD23"/>
      <c r="TBE23"/>
      <c r="TBF23"/>
      <c r="TBG23"/>
      <c r="TBH23"/>
      <c r="TBI23"/>
      <c r="TBJ23"/>
      <c r="TBK23"/>
      <c r="TBL23"/>
      <c r="TBM23"/>
      <c r="TBN23"/>
      <c r="TBO23"/>
      <c r="TBP23"/>
      <c r="TBQ23"/>
      <c r="TBR23"/>
      <c r="TBS23"/>
      <c r="TBT23"/>
      <c r="TBU23"/>
      <c r="TBV23"/>
      <c r="TBW23"/>
      <c r="TBX23"/>
      <c r="TBY23"/>
      <c r="TBZ23"/>
      <c r="TCA23"/>
      <c r="TCB23"/>
      <c r="TCC23"/>
      <c r="TCD23"/>
      <c r="TCE23"/>
      <c r="TCF23"/>
      <c r="TCG23"/>
      <c r="TCH23"/>
      <c r="TCI23"/>
      <c r="TCJ23"/>
      <c r="TCK23"/>
      <c r="TCL23"/>
      <c r="TCM23"/>
      <c r="TCN23"/>
      <c r="TCO23"/>
      <c r="TCP23"/>
      <c r="TCQ23"/>
      <c r="TCR23"/>
      <c r="TCS23"/>
      <c r="TCT23"/>
      <c r="TCU23"/>
      <c r="TCV23"/>
      <c r="TCW23"/>
      <c r="TCX23"/>
      <c r="TCY23"/>
      <c r="TCZ23"/>
      <c r="TDA23"/>
      <c r="TDB23"/>
      <c r="TDC23"/>
      <c r="TDD23"/>
      <c r="TDE23"/>
      <c r="TDF23"/>
      <c r="TDG23"/>
      <c r="TDH23"/>
      <c r="TDI23"/>
      <c r="TDJ23"/>
      <c r="TDK23"/>
      <c r="TDL23"/>
      <c r="TDM23"/>
      <c r="TDN23"/>
      <c r="TDO23"/>
      <c r="TDP23"/>
      <c r="TDQ23"/>
      <c r="TDR23"/>
      <c r="TDS23"/>
      <c r="TDT23"/>
      <c r="TDU23"/>
      <c r="TDV23"/>
      <c r="TDW23"/>
      <c r="TDX23"/>
      <c r="TDY23"/>
      <c r="TDZ23"/>
      <c r="TEA23"/>
      <c r="TEB23"/>
      <c r="TEC23"/>
      <c r="TED23"/>
      <c r="TEE23"/>
      <c r="TEF23"/>
      <c r="TEG23"/>
      <c r="TEH23"/>
      <c r="TEI23"/>
      <c r="TEJ23"/>
      <c r="TEK23"/>
      <c r="TEL23"/>
      <c r="TEM23"/>
      <c r="TEN23"/>
      <c r="TEO23"/>
      <c r="TEP23"/>
      <c r="TEQ23"/>
      <c r="TER23"/>
      <c r="TES23"/>
      <c r="TET23"/>
      <c r="TEU23"/>
      <c r="TEV23"/>
      <c r="TEW23"/>
      <c r="TEX23"/>
      <c r="TEY23"/>
      <c r="TEZ23"/>
      <c r="TFA23"/>
      <c r="TFB23"/>
      <c r="TFC23"/>
      <c r="TFD23"/>
      <c r="TFE23"/>
      <c r="TFF23"/>
      <c r="TFG23"/>
      <c r="TFH23"/>
      <c r="TFI23"/>
      <c r="TFJ23"/>
      <c r="TFK23"/>
      <c r="TFL23"/>
      <c r="TFM23"/>
      <c r="TFN23"/>
      <c r="TFO23"/>
      <c r="TFP23"/>
      <c r="TFQ23"/>
      <c r="TFR23"/>
      <c r="TFS23"/>
      <c r="TFT23"/>
      <c r="TFU23"/>
      <c r="TFV23"/>
      <c r="TFW23"/>
      <c r="TFX23"/>
      <c r="TFY23"/>
      <c r="TFZ23"/>
      <c r="TGA23"/>
      <c r="TGB23"/>
      <c r="TGC23"/>
      <c r="TGD23"/>
      <c r="TGE23"/>
      <c r="TGF23"/>
      <c r="TGG23"/>
      <c r="TGH23"/>
      <c r="TGI23"/>
      <c r="TGJ23"/>
      <c r="TGK23"/>
      <c r="TGL23"/>
      <c r="TGM23"/>
      <c r="TGN23"/>
      <c r="TGO23"/>
      <c r="TGP23"/>
      <c r="TGQ23"/>
      <c r="TGR23"/>
      <c r="TGS23"/>
      <c r="TGT23"/>
      <c r="TGU23"/>
      <c r="TGV23"/>
      <c r="TGW23"/>
      <c r="TGX23"/>
      <c r="TGY23"/>
      <c r="TGZ23"/>
      <c r="THA23"/>
      <c r="THB23"/>
      <c r="THC23"/>
      <c r="THD23"/>
      <c r="THE23"/>
      <c r="THF23"/>
      <c r="THG23"/>
      <c r="THH23"/>
      <c r="THI23"/>
      <c r="THJ23"/>
      <c r="THK23"/>
      <c r="THL23"/>
      <c r="THM23"/>
      <c r="THN23"/>
      <c r="THO23"/>
      <c r="THP23"/>
      <c r="THQ23"/>
      <c r="THR23"/>
      <c r="THS23"/>
      <c r="THT23"/>
      <c r="THU23"/>
      <c r="THV23"/>
      <c r="THW23"/>
      <c r="THX23"/>
      <c r="THY23"/>
      <c r="THZ23"/>
      <c r="TIA23"/>
      <c r="TIB23"/>
      <c r="TIC23"/>
      <c r="TID23"/>
      <c r="TIE23"/>
      <c r="TIF23"/>
      <c r="TIG23"/>
      <c r="TIH23"/>
      <c r="TII23"/>
      <c r="TIJ23"/>
      <c r="TIK23"/>
      <c r="TIL23"/>
      <c r="TIM23"/>
      <c r="TIN23"/>
      <c r="TIO23"/>
      <c r="TIP23"/>
      <c r="TIQ23"/>
      <c r="TIR23"/>
      <c r="TIS23"/>
      <c r="TIT23"/>
      <c r="TIU23"/>
      <c r="TIV23"/>
      <c r="TIW23"/>
      <c r="TIX23"/>
      <c r="TIY23"/>
      <c r="TIZ23"/>
      <c r="TJA23"/>
      <c r="TJB23"/>
      <c r="TJC23"/>
      <c r="TJD23"/>
      <c r="TJE23"/>
      <c r="TJF23"/>
      <c r="TJG23"/>
      <c r="TJH23"/>
      <c r="TJI23"/>
      <c r="TJJ23"/>
      <c r="TJK23"/>
      <c r="TJL23"/>
      <c r="TJM23"/>
      <c r="TJN23"/>
      <c r="TJO23"/>
      <c r="TJP23"/>
      <c r="TJQ23"/>
      <c r="TJR23"/>
      <c r="TJS23"/>
      <c r="TJT23"/>
      <c r="TJU23"/>
      <c r="TJV23"/>
      <c r="TJW23"/>
      <c r="TJX23"/>
      <c r="TJY23"/>
      <c r="TJZ23"/>
      <c r="TKA23"/>
      <c r="TKB23"/>
      <c r="TKC23"/>
      <c r="TKD23"/>
      <c r="TKE23"/>
      <c r="TKF23"/>
      <c r="TKG23"/>
      <c r="TKH23"/>
      <c r="TKI23"/>
      <c r="TKJ23"/>
      <c r="TKK23"/>
      <c r="TKL23"/>
      <c r="TKM23"/>
      <c r="TKN23"/>
      <c r="TKO23"/>
      <c r="TKP23"/>
      <c r="TKQ23"/>
      <c r="TKR23"/>
      <c r="TKS23"/>
      <c r="TKT23"/>
      <c r="TKU23"/>
      <c r="TKV23"/>
      <c r="TKW23"/>
      <c r="TKX23"/>
      <c r="TKY23"/>
      <c r="TKZ23"/>
      <c r="TLA23"/>
      <c r="TLB23"/>
      <c r="TLC23"/>
      <c r="TLD23"/>
      <c r="TLE23"/>
      <c r="TLF23"/>
      <c r="TLG23"/>
      <c r="TLH23"/>
      <c r="TLI23"/>
      <c r="TLJ23"/>
      <c r="TLK23"/>
      <c r="TLL23"/>
      <c r="TLM23"/>
      <c r="TLN23"/>
      <c r="TLO23"/>
      <c r="TLP23"/>
      <c r="TLQ23"/>
      <c r="TLR23"/>
      <c r="TLS23"/>
      <c r="TLT23"/>
      <c r="TLU23"/>
      <c r="TLV23"/>
      <c r="TLW23"/>
      <c r="TLX23"/>
      <c r="TLY23"/>
      <c r="TLZ23"/>
      <c r="TMA23"/>
      <c r="TMB23"/>
      <c r="TMC23"/>
      <c r="TMD23"/>
      <c r="TME23"/>
      <c r="TMF23"/>
      <c r="TMG23"/>
      <c r="TMH23"/>
      <c r="TMI23"/>
      <c r="TMJ23"/>
      <c r="TMK23"/>
      <c r="TML23"/>
      <c r="TMM23"/>
      <c r="TMN23"/>
      <c r="TMO23"/>
      <c r="TMP23"/>
      <c r="TMQ23"/>
      <c r="TMR23"/>
      <c r="TMS23"/>
      <c r="TMT23"/>
      <c r="TMU23"/>
      <c r="TMV23"/>
      <c r="TMW23"/>
      <c r="TMX23"/>
      <c r="TMY23"/>
      <c r="TMZ23"/>
      <c r="TNA23"/>
      <c r="TNB23"/>
      <c r="TNC23"/>
      <c r="TND23"/>
      <c r="TNE23"/>
      <c r="TNF23"/>
      <c r="TNG23"/>
      <c r="TNH23"/>
      <c r="TNI23"/>
      <c r="TNJ23"/>
      <c r="TNK23"/>
      <c r="TNL23"/>
      <c r="TNM23"/>
      <c r="TNN23"/>
      <c r="TNO23"/>
      <c r="TNP23"/>
      <c r="TNQ23"/>
      <c r="TNR23"/>
      <c r="TNS23"/>
      <c r="TNT23"/>
      <c r="TNU23"/>
      <c r="TNV23"/>
      <c r="TNW23"/>
      <c r="TNX23"/>
      <c r="TNY23"/>
      <c r="TNZ23"/>
      <c r="TOA23"/>
      <c r="TOB23"/>
      <c r="TOC23"/>
      <c r="TOD23"/>
      <c r="TOE23"/>
      <c r="TOF23"/>
      <c r="TOG23"/>
      <c r="TOH23"/>
      <c r="TOI23"/>
      <c r="TOJ23"/>
      <c r="TOK23"/>
      <c r="TOL23"/>
      <c r="TOM23"/>
      <c r="TON23"/>
      <c r="TOO23"/>
      <c r="TOP23"/>
      <c r="TOQ23"/>
      <c r="TOR23"/>
      <c r="TOS23"/>
      <c r="TOT23"/>
      <c r="TOU23"/>
      <c r="TOV23"/>
      <c r="TOW23"/>
      <c r="TOX23"/>
      <c r="TOY23"/>
      <c r="TOZ23"/>
      <c r="TPA23"/>
      <c r="TPB23"/>
      <c r="TPC23"/>
      <c r="TPD23"/>
      <c r="TPE23"/>
      <c r="TPF23"/>
      <c r="TPG23"/>
      <c r="TPH23"/>
      <c r="TPI23"/>
      <c r="TPJ23"/>
      <c r="TPK23"/>
      <c r="TPL23"/>
      <c r="TPM23"/>
      <c r="TPN23"/>
      <c r="TPO23"/>
      <c r="TPP23"/>
      <c r="TPQ23"/>
      <c r="TPR23"/>
      <c r="TPS23"/>
      <c r="TPT23"/>
      <c r="TPU23"/>
      <c r="TPV23"/>
      <c r="TPW23"/>
      <c r="TPX23"/>
      <c r="TPY23"/>
      <c r="TPZ23"/>
      <c r="TQA23"/>
      <c r="TQB23"/>
      <c r="TQC23"/>
      <c r="TQD23"/>
      <c r="TQE23"/>
      <c r="TQF23"/>
      <c r="TQG23"/>
      <c r="TQH23"/>
      <c r="TQI23"/>
      <c r="TQJ23"/>
      <c r="TQK23"/>
      <c r="TQL23"/>
      <c r="TQM23"/>
      <c r="TQN23"/>
      <c r="TQO23"/>
      <c r="TQP23"/>
      <c r="TQQ23"/>
      <c r="TQR23"/>
      <c r="TQS23"/>
      <c r="TQT23"/>
      <c r="TQU23"/>
      <c r="TQV23"/>
      <c r="TQW23"/>
      <c r="TQX23"/>
      <c r="TQY23"/>
      <c r="TQZ23"/>
      <c r="TRA23"/>
      <c r="TRB23"/>
      <c r="TRC23"/>
      <c r="TRD23"/>
      <c r="TRE23"/>
      <c r="TRF23"/>
      <c r="TRG23"/>
      <c r="TRH23"/>
      <c r="TRI23"/>
      <c r="TRJ23"/>
      <c r="TRK23"/>
      <c r="TRL23"/>
      <c r="TRM23"/>
      <c r="TRN23"/>
      <c r="TRO23"/>
      <c r="TRP23"/>
      <c r="TRQ23"/>
      <c r="TRR23"/>
      <c r="TRS23"/>
      <c r="TRT23"/>
      <c r="TRU23"/>
      <c r="TRV23"/>
      <c r="TRW23"/>
      <c r="TRX23"/>
      <c r="TRY23"/>
      <c r="TRZ23"/>
      <c r="TSA23"/>
      <c r="TSB23"/>
      <c r="TSC23"/>
      <c r="TSD23"/>
      <c r="TSE23"/>
      <c r="TSF23"/>
      <c r="TSG23"/>
      <c r="TSH23"/>
      <c r="TSI23"/>
      <c r="TSJ23"/>
      <c r="TSK23"/>
      <c r="TSL23"/>
      <c r="TSM23"/>
      <c r="TSN23"/>
      <c r="TSO23"/>
      <c r="TSP23"/>
      <c r="TSQ23"/>
      <c r="TSR23"/>
      <c r="TSS23"/>
      <c r="TST23"/>
      <c r="TSU23"/>
      <c r="TSV23"/>
      <c r="TSW23"/>
      <c r="TSX23"/>
      <c r="TSY23"/>
      <c r="TSZ23"/>
      <c r="TTA23"/>
      <c r="TTB23"/>
      <c r="TTC23"/>
      <c r="TTD23"/>
      <c r="TTE23"/>
      <c r="TTF23"/>
      <c r="TTG23"/>
      <c r="TTH23"/>
      <c r="TTI23"/>
      <c r="TTJ23"/>
      <c r="TTK23"/>
      <c r="TTL23"/>
      <c r="TTM23"/>
      <c r="TTN23"/>
      <c r="TTO23"/>
      <c r="TTP23"/>
      <c r="TTQ23"/>
      <c r="TTR23"/>
      <c r="TTS23"/>
      <c r="TTT23"/>
      <c r="TTU23"/>
      <c r="TTV23"/>
      <c r="TTW23"/>
      <c r="TTX23"/>
      <c r="TTY23"/>
      <c r="TTZ23"/>
      <c r="TUA23"/>
      <c r="TUB23"/>
      <c r="TUC23"/>
      <c r="TUD23"/>
      <c r="TUE23"/>
      <c r="TUF23"/>
      <c r="TUG23"/>
      <c r="TUH23"/>
      <c r="TUI23"/>
      <c r="TUJ23"/>
      <c r="TUK23"/>
      <c r="TUL23"/>
      <c r="TUM23"/>
      <c r="TUN23"/>
      <c r="TUO23"/>
      <c r="TUP23"/>
      <c r="TUQ23"/>
      <c r="TUR23"/>
      <c r="TUS23"/>
      <c r="TUT23"/>
      <c r="TUU23"/>
      <c r="TUV23"/>
      <c r="TUW23"/>
      <c r="TUX23"/>
      <c r="TUY23"/>
      <c r="TUZ23"/>
      <c r="TVA23"/>
      <c r="TVB23"/>
      <c r="TVC23"/>
      <c r="TVD23"/>
      <c r="TVE23"/>
      <c r="TVF23"/>
      <c r="TVG23"/>
      <c r="TVH23"/>
      <c r="TVI23"/>
      <c r="TVJ23"/>
      <c r="TVK23"/>
      <c r="TVL23"/>
      <c r="TVM23"/>
      <c r="TVN23"/>
      <c r="TVO23"/>
      <c r="TVP23"/>
      <c r="TVQ23"/>
      <c r="TVR23"/>
      <c r="TVS23"/>
      <c r="TVT23"/>
      <c r="TVU23"/>
      <c r="TVV23"/>
      <c r="TVW23"/>
      <c r="TVX23"/>
      <c r="TVY23"/>
      <c r="TVZ23"/>
      <c r="TWA23"/>
      <c r="TWB23"/>
      <c r="TWC23"/>
      <c r="TWD23"/>
      <c r="TWE23"/>
      <c r="TWF23"/>
      <c r="TWG23"/>
      <c r="TWH23"/>
      <c r="TWI23"/>
      <c r="TWJ23"/>
      <c r="TWK23"/>
      <c r="TWL23"/>
      <c r="TWM23"/>
      <c r="TWN23"/>
      <c r="TWO23"/>
      <c r="TWP23"/>
      <c r="TWQ23"/>
      <c r="TWR23"/>
      <c r="TWS23"/>
      <c r="TWT23"/>
      <c r="TWU23"/>
      <c r="TWV23"/>
      <c r="TWW23"/>
      <c r="TWX23"/>
      <c r="TWY23"/>
      <c r="TWZ23"/>
      <c r="TXA23"/>
      <c r="TXB23"/>
      <c r="TXC23"/>
      <c r="TXD23"/>
      <c r="TXE23"/>
      <c r="TXF23"/>
      <c r="TXG23"/>
      <c r="TXH23"/>
      <c r="TXI23"/>
      <c r="TXJ23"/>
      <c r="TXK23"/>
      <c r="TXL23"/>
      <c r="TXM23"/>
      <c r="TXN23"/>
      <c r="TXO23"/>
      <c r="TXP23"/>
      <c r="TXQ23"/>
      <c r="TXR23"/>
      <c r="TXS23"/>
      <c r="TXT23"/>
      <c r="TXU23"/>
      <c r="TXV23"/>
      <c r="TXW23"/>
      <c r="TXX23"/>
      <c r="TXY23"/>
      <c r="TXZ23"/>
      <c r="TYA23"/>
      <c r="TYB23"/>
      <c r="TYC23"/>
      <c r="TYD23"/>
      <c r="TYE23"/>
      <c r="TYF23"/>
      <c r="TYG23"/>
      <c r="TYH23"/>
      <c r="TYI23"/>
      <c r="TYJ23"/>
      <c r="TYK23"/>
      <c r="TYL23"/>
      <c r="TYM23"/>
      <c r="TYN23"/>
      <c r="TYO23"/>
      <c r="TYP23"/>
      <c r="TYQ23"/>
      <c r="TYR23"/>
      <c r="TYS23"/>
      <c r="TYT23"/>
      <c r="TYU23"/>
      <c r="TYV23"/>
      <c r="TYW23"/>
      <c r="TYX23"/>
      <c r="TYY23"/>
      <c r="TYZ23"/>
      <c r="TZA23"/>
      <c r="TZB23"/>
      <c r="TZC23"/>
      <c r="TZD23"/>
      <c r="TZE23"/>
      <c r="TZF23"/>
      <c r="TZG23"/>
      <c r="TZH23"/>
      <c r="TZI23"/>
      <c r="TZJ23"/>
      <c r="TZK23"/>
      <c r="TZL23"/>
      <c r="TZM23"/>
      <c r="TZN23"/>
      <c r="TZO23"/>
      <c r="TZP23"/>
      <c r="TZQ23"/>
      <c r="TZR23"/>
      <c r="TZS23"/>
      <c r="TZT23"/>
      <c r="TZU23"/>
      <c r="TZV23"/>
      <c r="TZW23"/>
      <c r="TZX23"/>
      <c r="TZY23"/>
      <c r="TZZ23"/>
      <c r="UAA23"/>
      <c r="UAB23"/>
      <c r="UAC23"/>
      <c r="UAD23"/>
      <c r="UAE23"/>
      <c r="UAF23"/>
      <c r="UAG23"/>
      <c r="UAH23"/>
      <c r="UAI23"/>
      <c r="UAJ23"/>
      <c r="UAK23"/>
      <c r="UAL23"/>
      <c r="UAM23"/>
      <c r="UAN23"/>
      <c r="UAO23"/>
      <c r="UAP23"/>
      <c r="UAQ23"/>
      <c r="UAR23"/>
      <c r="UAS23"/>
      <c r="UAT23"/>
      <c r="UAU23"/>
      <c r="UAV23"/>
      <c r="UAW23"/>
      <c r="UAX23"/>
      <c r="UAY23"/>
      <c r="UAZ23"/>
      <c r="UBA23"/>
      <c r="UBB23"/>
      <c r="UBC23"/>
      <c r="UBD23"/>
      <c r="UBE23"/>
      <c r="UBF23"/>
      <c r="UBG23"/>
      <c r="UBH23"/>
      <c r="UBI23"/>
      <c r="UBJ23"/>
      <c r="UBK23"/>
      <c r="UBL23"/>
      <c r="UBM23"/>
      <c r="UBN23"/>
      <c r="UBO23"/>
      <c r="UBP23"/>
      <c r="UBQ23"/>
      <c r="UBR23"/>
      <c r="UBS23"/>
      <c r="UBT23"/>
      <c r="UBU23"/>
      <c r="UBV23"/>
      <c r="UBW23"/>
      <c r="UBX23"/>
      <c r="UBY23"/>
      <c r="UBZ23"/>
      <c r="UCA23"/>
      <c r="UCB23"/>
      <c r="UCC23"/>
      <c r="UCD23"/>
      <c r="UCE23"/>
      <c r="UCF23"/>
      <c r="UCG23"/>
      <c r="UCH23"/>
      <c r="UCI23"/>
      <c r="UCJ23"/>
      <c r="UCK23"/>
      <c r="UCL23"/>
      <c r="UCM23"/>
      <c r="UCN23"/>
      <c r="UCO23"/>
      <c r="UCP23"/>
      <c r="UCQ23"/>
      <c r="UCR23"/>
      <c r="UCS23"/>
      <c r="UCT23"/>
      <c r="UCU23"/>
      <c r="UCV23"/>
      <c r="UCW23"/>
      <c r="UCX23"/>
      <c r="UCY23"/>
      <c r="UCZ23"/>
      <c r="UDA23"/>
      <c r="UDB23"/>
      <c r="UDC23"/>
      <c r="UDD23"/>
      <c r="UDE23"/>
      <c r="UDF23"/>
      <c r="UDG23"/>
      <c r="UDH23"/>
      <c r="UDI23"/>
      <c r="UDJ23"/>
      <c r="UDK23"/>
      <c r="UDL23"/>
      <c r="UDM23"/>
      <c r="UDN23"/>
      <c r="UDO23"/>
      <c r="UDP23"/>
      <c r="UDQ23"/>
      <c r="UDR23"/>
      <c r="UDS23"/>
      <c r="UDT23"/>
      <c r="UDU23"/>
      <c r="UDV23"/>
      <c r="UDW23"/>
      <c r="UDX23"/>
      <c r="UDY23"/>
      <c r="UDZ23"/>
      <c r="UEA23"/>
      <c r="UEB23"/>
      <c r="UEC23"/>
      <c r="UED23"/>
      <c r="UEE23"/>
      <c r="UEF23"/>
      <c r="UEG23"/>
      <c r="UEH23"/>
      <c r="UEI23"/>
      <c r="UEJ23"/>
      <c r="UEK23"/>
      <c r="UEL23"/>
      <c r="UEM23"/>
      <c r="UEN23"/>
      <c r="UEO23"/>
      <c r="UEP23"/>
      <c r="UEQ23"/>
      <c r="UER23"/>
      <c r="UES23"/>
      <c r="UET23"/>
      <c r="UEU23"/>
      <c r="UEV23"/>
      <c r="UEW23"/>
      <c r="UEX23"/>
      <c r="UEY23"/>
      <c r="UEZ23"/>
      <c r="UFA23"/>
      <c r="UFB23"/>
      <c r="UFC23"/>
      <c r="UFD23"/>
      <c r="UFE23"/>
      <c r="UFF23"/>
      <c r="UFG23"/>
      <c r="UFH23"/>
      <c r="UFI23"/>
      <c r="UFJ23"/>
      <c r="UFK23"/>
      <c r="UFL23"/>
      <c r="UFM23"/>
      <c r="UFN23"/>
      <c r="UFO23"/>
      <c r="UFP23"/>
      <c r="UFQ23"/>
      <c r="UFR23"/>
      <c r="UFS23"/>
      <c r="UFT23"/>
      <c r="UFU23"/>
      <c r="UFV23"/>
      <c r="UFW23"/>
      <c r="UFX23"/>
      <c r="UFY23"/>
      <c r="UFZ23"/>
      <c r="UGA23"/>
      <c r="UGB23"/>
      <c r="UGC23"/>
      <c r="UGD23"/>
      <c r="UGE23"/>
      <c r="UGF23"/>
      <c r="UGG23"/>
      <c r="UGH23"/>
      <c r="UGI23"/>
      <c r="UGJ23"/>
      <c r="UGK23"/>
      <c r="UGL23"/>
      <c r="UGM23"/>
      <c r="UGN23"/>
      <c r="UGO23"/>
      <c r="UGP23"/>
      <c r="UGQ23"/>
      <c r="UGR23"/>
      <c r="UGS23"/>
      <c r="UGT23"/>
      <c r="UGU23"/>
      <c r="UGV23"/>
      <c r="UGW23"/>
      <c r="UGX23"/>
      <c r="UGY23"/>
      <c r="UGZ23"/>
      <c r="UHA23"/>
      <c r="UHB23"/>
      <c r="UHC23"/>
      <c r="UHD23"/>
      <c r="UHE23"/>
      <c r="UHF23"/>
      <c r="UHG23"/>
      <c r="UHH23"/>
      <c r="UHI23"/>
      <c r="UHJ23"/>
      <c r="UHK23"/>
      <c r="UHL23"/>
      <c r="UHM23"/>
      <c r="UHN23"/>
      <c r="UHO23"/>
      <c r="UHP23"/>
      <c r="UHQ23"/>
      <c r="UHR23"/>
      <c r="UHS23"/>
      <c r="UHT23"/>
      <c r="UHU23"/>
      <c r="UHV23"/>
      <c r="UHW23"/>
      <c r="UHX23"/>
      <c r="UHY23"/>
      <c r="UHZ23"/>
      <c r="UIA23"/>
      <c r="UIB23"/>
      <c r="UIC23"/>
      <c r="UID23"/>
      <c r="UIE23"/>
      <c r="UIF23"/>
      <c r="UIG23"/>
      <c r="UIH23"/>
      <c r="UII23"/>
      <c r="UIJ23"/>
      <c r="UIK23"/>
      <c r="UIL23"/>
      <c r="UIM23"/>
      <c r="UIN23"/>
      <c r="UIO23"/>
      <c r="UIP23"/>
      <c r="UIQ23"/>
      <c r="UIR23"/>
      <c r="UIS23"/>
      <c r="UIT23"/>
      <c r="UIU23"/>
      <c r="UIV23"/>
      <c r="UIW23"/>
      <c r="UIX23"/>
      <c r="UIY23"/>
      <c r="UIZ23"/>
      <c r="UJA23"/>
      <c r="UJB23"/>
      <c r="UJC23"/>
      <c r="UJD23"/>
      <c r="UJE23"/>
      <c r="UJF23"/>
      <c r="UJG23"/>
      <c r="UJH23"/>
      <c r="UJI23"/>
      <c r="UJJ23"/>
      <c r="UJK23"/>
      <c r="UJL23"/>
      <c r="UJM23"/>
      <c r="UJN23"/>
      <c r="UJO23"/>
      <c r="UJP23"/>
      <c r="UJQ23"/>
      <c r="UJR23"/>
      <c r="UJS23"/>
      <c r="UJT23"/>
      <c r="UJU23"/>
      <c r="UJV23"/>
      <c r="UJW23"/>
      <c r="UJX23"/>
      <c r="UJY23"/>
      <c r="UJZ23"/>
      <c r="UKA23"/>
      <c r="UKB23"/>
      <c r="UKC23"/>
      <c r="UKD23"/>
      <c r="UKE23"/>
      <c r="UKF23"/>
      <c r="UKG23"/>
      <c r="UKH23"/>
      <c r="UKI23"/>
      <c r="UKJ23"/>
      <c r="UKK23"/>
      <c r="UKL23"/>
      <c r="UKM23"/>
      <c r="UKN23"/>
      <c r="UKO23"/>
      <c r="UKP23"/>
      <c r="UKQ23"/>
      <c r="UKR23"/>
      <c r="UKS23"/>
      <c r="UKT23"/>
      <c r="UKU23"/>
      <c r="UKV23"/>
      <c r="UKW23"/>
      <c r="UKX23"/>
      <c r="UKY23"/>
      <c r="UKZ23"/>
      <c r="ULA23"/>
      <c r="ULB23"/>
      <c r="ULC23"/>
      <c r="ULD23"/>
      <c r="ULE23"/>
      <c r="ULF23"/>
      <c r="ULG23"/>
      <c r="ULH23"/>
      <c r="ULI23"/>
      <c r="ULJ23"/>
      <c r="ULK23"/>
      <c r="ULL23"/>
      <c r="ULM23"/>
      <c r="ULN23"/>
      <c r="ULO23"/>
      <c r="ULP23"/>
      <c r="ULQ23"/>
      <c r="ULR23"/>
      <c r="ULS23"/>
      <c r="ULT23"/>
      <c r="ULU23"/>
      <c r="ULV23"/>
      <c r="ULW23"/>
      <c r="ULX23"/>
      <c r="ULY23"/>
      <c r="ULZ23"/>
      <c r="UMA23"/>
      <c r="UMB23"/>
      <c r="UMC23"/>
      <c r="UMD23"/>
      <c r="UME23"/>
      <c r="UMF23"/>
      <c r="UMG23"/>
      <c r="UMH23"/>
      <c r="UMI23"/>
      <c r="UMJ23"/>
      <c r="UMK23"/>
      <c r="UML23"/>
      <c r="UMM23"/>
      <c r="UMN23"/>
      <c r="UMO23"/>
      <c r="UMP23"/>
      <c r="UMQ23"/>
      <c r="UMR23"/>
      <c r="UMS23"/>
      <c r="UMT23"/>
      <c r="UMU23"/>
      <c r="UMV23"/>
      <c r="UMW23"/>
      <c r="UMX23"/>
      <c r="UMY23"/>
      <c r="UMZ23"/>
      <c r="UNA23"/>
      <c r="UNB23"/>
      <c r="UNC23"/>
      <c r="UND23"/>
      <c r="UNE23"/>
      <c r="UNF23"/>
      <c r="UNG23"/>
      <c r="UNH23"/>
      <c r="UNI23"/>
      <c r="UNJ23"/>
      <c r="UNK23"/>
      <c r="UNL23"/>
      <c r="UNM23"/>
      <c r="UNN23"/>
      <c r="UNO23"/>
      <c r="UNP23"/>
      <c r="UNQ23"/>
      <c r="UNR23"/>
      <c r="UNS23"/>
      <c r="UNT23"/>
      <c r="UNU23"/>
      <c r="UNV23"/>
      <c r="UNW23"/>
      <c r="UNX23"/>
      <c r="UNY23"/>
      <c r="UNZ23"/>
      <c r="UOA23"/>
      <c r="UOB23"/>
      <c r="UOC23"/>
      <c r="UOD23"/>
      <c r="UOE23"/>
      <c r="UOF23"/>
      <c r="UOG23"/>
      <c r="UOH23"/>
      <c r="UOI23"/>
      <c r="UOJ23"/>
      <c r="UOK23"/>
      <c r="UOL23"/>
      <c r="UOM23"/>
      <c r="UON23"/>
      <c r="UOO23"/>
      <c r="UOP23"/>
      <c r="UOQ23"/>
      <c r="UOR23"/>
      <c r="UOS23"/>
      <c r="UOT23"/>
      <c r="UOU23"/>
      <c r="UOV23"/>
      <c r="UOW23"/>
      <c r="UOX23"/>
      <c r="UOY23"/>
      <c r="UOZ23"/>
      <c r="UPA23"/>
      <c r="UPB23"/>
      <c r="UPC23"/>
      <c r="UPD23"/>
      <c r="UPE23"/>
      <c r="UPF23"/>
      <c r="UPG23"/>
      <c r="UPH23"/>
      <c r="UPI23"/>
      <c r="UPJ23"/>
      <c r="UPK23"/>
      <c r="UPL23"/>
      <c r="UPM23"/>
      <c r="UPN23"/>
      <c r="UPO23"/>
      <c r="UPP23"/>
      <c r="UPQ23"/>
      <c r="UPR23"/>
      <c r="UPS23"/>
      <c r="UPT23"/>
      <c r="UPU23"/>
      <c r="UPV23"/>
      <c r="UPW23"/>
      <c r="UPX23"/>
      <c r="UPY23"/>
      <c r="UPZ23"/>
      <c r="UQA23"/>
      <c r="UQB23"/>
      <c r="UQC23"/>
      <c r="UQD23"/>
      <c r="UQE23"/>
      <c r="UQF23"/>
      <c r="UQG23"/>
      <c r="UQH23"/>
      <c r="UQI23"/>
      <c r="UQJ23"/>
      <c r="UQK23"/>
      <c r="UQL23"/>
      <c r="UQM23"/>
      <c r="UQN23"/>
      <c r="UQO23"/>
      <c r="UQP23"/>
      <c r="UQQ23"/>
      <c r="UQR23"/>
      <c r="UQS23"/>
      <c r="UQT23"/>
      <c r="UQU23"/>
      <c r="UQV23"/>
      <c r="UQW23"/>
      <c r="UQX23"/>
      <c r="UQY23"/>
      <c r="UQZ23"/>
      <c r="URA23"/>
      <c r="URB23"/>
      <c r="URC23"/>
      <c r="URD23"/>
      <c r="URE23"/>
      <c r="URF23"/>
      <c r="URG23"/>
      <c r="URH23"/>
      <c r="URI23"/>
      <c r="URJ23"/>
      <c r="URK23"/>
      <c r="URL23"/>
      <c r="URM23"/>
      <c r="URN23"/>
      <c r="URO23"/>
      <c r="URP23"/>
      <c r="URQ23"/>
      <c r="URR23"/>
      <c r="URS23"/>
      <c r="URT23"/>
      <c r="URU23"/>
      <c r="URV23"/>
      <c r="URW23"/>
      <c r="URX23"/>
      <c r="URY23"/>
      <c r="URZ23"/>
      <c r="USA23"/>
      <c r="USB23"/>
      <c r="USC23"/>
      <c r="USD23"/>
      <c r="USE23"/>
      <c r="USF23"/>
      <c r="USG23"/>
      <c r="USH23"/>
      <c r="USI23"/>
      <c r="USJ23"/>
      <c r="USK23"/>
      <c r="USL23"/>
      <c r="USM23"/>
      <c r="USN23"/>
      <c r="USO23"/>
      <c r="USP23"/>
      <c r="USQ23"/>
      <c r="USR23"/>
      <c r="USS23"/>
      <c r="UST23"/>
      <c r="USU23"/>
      <c r="USV23"/>
      <c r="USW23"/>
      <c r="USX23"/>
      <c r="USY23"/>
      <c r="USZ23"/>
      <c r="UTA23"/>
      <c r="UTB23"/>
      <c r="UTC23"/>
      <c r="UTD23"/>
      <c r="UTE23"/>
      <c r="UTF23"/>
      <c r="UTG23"/>
      <c r="UTH23"/>
      <c r="UTI23"/>
      <c r="UTJ23"/>
      <c r="UTK23"/>
      <c r="UTL23"/>
      <c r="UTM23"/>
      <c r="UTN23"/>
      <c r="UTO23"/>
      <c r="UTP23"/>
      <c r="UTQ23"/>
      <c r="UTR23"/>
      <c r="UTS23"/>
      <c r="UTT23"/>
      <c r="UTU23"/>
      <c r="UTV23"/>
      <c r="UTW23"/>
      <c r="UTX23"/>
      <c r="UTY23"/>
      <c r="UTZ23"/>
      <c r="UUA23"/>
      <c r="UUB23"/>
      <c r="UUC23"/>
      <c r="UUD23"/>
      <c r="UUE23"/>
      <c r="UUF23"/>
      <c r="UUG23"/>
      <c r="UUH23"/>
      <c r="UUI23"/>
      <c r="UUJ23"/>
      <c r="UUK23"/>
      <c r="UUL23"/>
      <c r="UUM23"/>
      <c r="UUN23"/>
      <c r="UUO23"/>
      <c r="UUP23"/>
      <c r="UUQ23"/>
      <c r="UUR23"/>
      <c r="UUS23"/>
      <c r="UUT23"/>
      <c r="UUU23"/>
      <c r="UUV23"/>
      <c r="UUW23"/>
      <c r="UUX23"/>
      <c r="UUY23"/>
      <c r="UUZ23"/>
      <c r="UVA23"/>
      <c r="UVB23"/>
      <c r="UVC23"/>
      <c r="UVD23"/>
      <c r="UVE23"/>
      <c r="UVF23"/>
      <c r="UVG23"/>
      <c r="UVH23"/>
      <c r="UVI23"/>
      <c r="UVJ23"/>
      <c r="UVK23"/>
      <c r="UVL23"/>
      <c r="UVM23"/>
      <c r="UVN23"/>
      <c r="UVO23"/>
      <c r="UVP23"/>
      <c r="UVQ23"/>
      <c r="UVR23"/>
      <c r="UVS23"/>
      <c r="UVT23"/>
      <c r="UVU23"/>
      <c r="UVV23"/>
      <c r="UVW23"/>
      <c r="UVX23"/>
      <c r="UVY23"/>
      <c r="UVZ23"/>
      <c r="UWA23"/>
      <c r="UWB23"/>
      <c r="UWC23"/>
      <c r="UWD23"/>
      <c r="UWE23"/>
      <c r="UWF23"/>
      <c r="UWG23"/>
      <c r="UWH23"/>
      <c r="UWI23"/>
      <c r="UWJ23"/>
      <c r="UWK23"/>
      <c r="UWL23"/>
      <c r="UWM23"/>
      <c r="UWN23"/>
      <c r="UWO23"/>
      <c r="UWP23"/>
      <c r="UWQ23"/>
      <c r="UWR23"/>
      <c r="UWS23"/>
      <c r="UWT23"/>
      <c r="UWU23"/>
      <c r="UWV23"/>
      <c r="UWW23"/>
      <c r="UWX23"/>
      <c r="UWY23"/>
      <c r="UWZ23"/>
      <c r="UXA23"/>
      <c r="UXB23"/>
      <c r="UXC23"/>
      <c r="UXD23"/>
      <c r="UXE23"/>
      <c r="UXF23"/>
      <c r="UXG23"/>
      <c r="UXH23"/>
      <c r="UXI23"/>
      <c r="UXJ23"/>
      <c r="UXK23"/>
      <c r="UXL23"/>
      <c r="UXM23"/>
      <c r="UXN23"/>
      <c r="UXO23"/>
      <c r="UXP23"/>
      <c r="UXQ23"/>
      <c r="UXR23"/>
      <c r="UXS23"/>
      <c r="UXT23"/>
      <c r="UXU23"/>
      <c r="UXV23"/>
      <c r="UXW23"/>
      <c r="UXX23"/>
      <c r="UXY23"/>
      <c r="UXZ23"/>
      <c r="UYA23"/>
      <c r="UYB23"/>
      <c r="UYC23"/>
      <c r="UYD23"/>
      <c r="UYE23"/>
      <c r="UYF23"/>
      <c r="UYG23"/>
      <c r="UYH23"/>
      <c r="UYI23"/>
      <c r="UYJ23"/>
      <c r="UYK23"/>
      <c r="UYL23"/>
      <c r="UYM23"/>
      <c r="UYN23"/>
      <c r="UYO23"/>
      <c r="UYP23"/>
      <c r="UYQ23"/>
      <c r="UYR23"/>
      <c r="UYS23"/>
      <c r="UYT23"/>
      <c r="UYU23"/>
      <c r="UYV23"/>
      <c r="UYW23"/>
      <c r="UYX23"/>
      <c r="UYY23"/>
      <c r="UYZ23"/>
      <c r="UZA23"/>
      <c r="UZB23"/>
      <c r="UZC23"/>
      <c r="UZD23"/>
      <c r="UZE23"/>
      <c r="UZF23"/>
      <c r="UZG23"/>
      <c r="UZH23"/>
      <c r="UZI23"/>
      <c r="UZJ23"/>
      <c r="UZK23"/>
      <c r="UZL23"/>
      <c r="UZM23"/>
      <c r="UZN23"/>
      <c r="UZO23"/>
      <c r="UZP23"/>
      <c r="UZQ23"/>
      <c r="UZR23"/>
      <c r="UZS23"/>
      <c r="UZT23"/>
      <c r="UZU23"/>
      <c r="UZV23"/>
      <c r="UZW23"/>
      <c r="UZX23"/>
      <c r="UZY23"/>
      <c r="UZZ23"/>
      <c r="VAA23"/>
      <c r="VAB23"/>
      <c r="VAC23"/>
      <c r="VAD23"/>
      <c r="VAE23"/>
      <c r="VAF23"/>
      <c r="VAG23"/>
      <c r="VAH23"/>
      <c r="VAI23"/>
      <c r="VAJ23"/>
      <c r="VAK23"/>
      <c r="VAL23"/>
      <c r="VAM23"/>
      <c r="VAN23"/>
      <c r="VAO23"/>
      <c r="VAP23"/>
      <c r="VAQ23"/>
      <c r="VAR23"/>
      <c r="VAS23"/>
      <c r="VAT23"/>
      <c r="VAU23"/>
      <c r="VAV23"/>
      <c r="VAW23"/>
      <c r="VAX23"/>
      <c r="VAY23"/>
      <c r="VAZ23"/>
      <c r="VBA23"/>
      <c r="VBB23"/>
      <c r="VBC23"/>
      <c r="VBD23"/>
      <c r="VBE23"/>
      <c r="VBF23"/>
      <c r="VBG23"/>
      <c r="VBH23"/>
      <c r="VBI23"/>
      <c r="VBJ23"/>
      <c r="VBK23"/>
      <c r="VBL23"/>
      <c r="VBM23"/>
      <c r="VBN23"/>
      <c r="VBO23"/>
      <c r="VBP23"/>
      <c r="VBQ23"/>
      <c r="VBR23"/>
      <c r="VBS23"/>
      <c r="VBT23"/>
      <c r="VBU23"/>
      <c r="VBV23"/>
      <c r="VBW23"/>
      <c r="VBX23"/>
      <c r="VBY23"/>
      <c r="VBZ23"/>
      <c r="VCA23"/>
      <c r="VCB23"/>
      <c r="VCC23"/>
      <c r="VCD23"/>
      <c r="VCE23"/>
      <c r="VCF23"/>
      <c r="VCG23"/>
      <c r="VCH23"/>
      <c r="VCI23"/>
      <c r="VCJ23"/>
      <c r="VCK23"/>
      <c r="VCL23"/>
      <c r="VCM23"/>
      <c r="VCN23"/>
      <c r="VCO23"/>
      <c r="VCP23"/>
      <c r="VCQ23"/>
      <c r="VCR23"/>
      <c r="VCS23"/>
      <c r="VCT23"/>
      <c r="VCU23"/>
      <c r="VCV23"/>
      <c r="VCW23"/>
      <c r="VCX23"/>
      <c r="VCY23"/>
      <c r="VCZ23"/>
      <c r="VDA23"/>
      <c r="VDB23"/>
      <c r="VDC23"/>
      <c r="VDD23"/>
      <c r="VDE23"/>
      <c r="VDF23"/>
      <c r="VDG23"/>
      <c r="VDH23"/>
      <c r="VDI23"/>
      <c r="VDJ23"/>
      <c r="VDK23"/>
      <c r="VDL23"/>
      <c r="VDM23"/>
      <c r="VDN23"/>
      <c r="VDO23"/>
      <c r="VDP23"/>
      <c r="VDQ23"/>
      <c r="VDR23"/>
      <c r="VDS23"/>
      <c r="VDT23"/>
      <c r="VDU23"/>
      <c r="VDV23"/>
      <c r="VDW23"/>
      <c r="VDX23"/>
      <c r="VDY23"/>
      <c r="VDZ23"/>
      <c r="VEA23"/>
      <c r="VEB23"/>
      <c r="VEC23"/>
      <c r="VED23"/>
      <c r="VEE23"/>
      <c r="VEF23"/>
      <c r="VEG23"/>
      <c r="VEH23"/>
      <c r="VEI23"/>
      <c r="VEJ23"/>
      <c r="VEK23"/>
      <c r="VEL23"/>
      <c r="VEM23"/>
      <c r="VEN23"/>
      <c r="VEO23"/>
      <c r="VEP23"/>
      <c r="VEQ23"/>
      <c r="VER23"/>
      <c r="VES23"/>
      <c r="VET23"/>
      <c r="VEU23"/>
      <c r="VEV23"/>
      <c r="VEW23"/>
      <c r="VEX23"/>
      <c r="VEY23"/>
      <c r="VEZ23"/>
      <c r="VFA23"/>
      <c r="VFB23"/>
      <c r="VFC23"/>
      <c r="VFD23"/>
      <c r="VFE23"/>
      <c r="VFF23"/>
      <c r="VFG23"/>
      <c r="VFH23"/>
      <c r="VFI23"/>
      <c r="VFJ23"/>
      <c r="VFK23"/>
      <c r="VFL23"/>
      <c r="VFM23"/>
      <c r="VFN23"/>
      <c r="VFO23"/>
      <c r="VFP23"/>
      <c r="VFQ23"/>
      <c r="VFR23"/>
      <c r="VFS23"/>
      <c r="VFT23"/>
      <c r="VFU23"/>
      <c r="VFV23"/>
      <c r="VFW23"/>
      <c r="VFX23"/>
      <c r="VFY23"/>
      <c r="VFZ23"/>
      <c r="VGA23"/>
      <c r="VGB23"/>
      <c r="VGC23"/>
      <c r="VGD23"/>
      <c r="VGE23"/>
      <c r="VGF23"/>
      <c r="VGG23"/>
      <c r="VGH23"/>
      <c r="VGI23"/>
      <c r="VGJ23"/>
      <c r="VGK23"/>
      <c r="VGL23"/>
      <c r="VGM23"/>
      <c r="VGN23"/>
      <c r="VGO23"/>
      <c r="VGP23"/>
      <c r="VGQ23"/>
      <c r="VGR23"/>
      <c r="VGS23"/>
      <c r="VGT23"/>
      <c r="VGU23"/>
      <c r="VGV23"/>
      <c r="VGW23"/>
      <c r="VGX23"/>
      <c r="VGY23"/>
      <c r="VGZ23"/>
      <c r="VHA23"/>
      <c r="VHB23"/>
      <c r="VHC23"/>
      <c r="VHD23"/>
      <c r="VHE23"/>
      <c r="VHF23"/>
      <c r="VHG23"/>
      <c r="VHH23"/>
      <c r="VHI23"/>
      <c r="VHJ23"/>
      <c r="VHK23"/>
      <c r="VHL23"/>
      <c r="VHM23"/>
      <c r="VHN23"/>
      <c r="VHO23"/>
      <c r="VHP23"/>
      <c r="VHQ23"/>
      <c r="VHR23"/>
      <c r="VHS23"/>
      <c r="VHT23"/>
      <c r="VHU23"/>
      <c r="VHV23"/>
      <c r="VHW23"/>
      <c r="VHX23"/>
      <c r="VHY23"/>
      <c r="VHZ23"/>
      <c r="VIA23"/>
      <c r="VIB23"/>
      <c r="VIC23"/>
      <c r="VID23"/>
      <c r="VIE23"/>
      <c r="VIF23"/>
      <c r="VIG23"/>
      <c r="VIH23"/>
      <c r="VII23"/>
      <c r="VIJ23"/>
      <c r="VIK23"/>
      <c r="VIL23"/>
      <c r="VIM23"/>
      <c r="VIN23"/>
      <c r="VIO23"/>
      <c r="VIP23"/>
      <c r="VIQ23"/>
      <c r="VIR23"/>
      <c r="VIS23"/>
      <c r="VIT23"/>
      <c r="VIU23"/>
      <c r="VIV23"/>
      <c r="VIW23"/>
      <c r="VIX23"/>
      <c r="VIY23"/>
      <c r="VIZ23"/>
      <c r="VJA23"/>
      <c r="VJB23"/>
      <c r="VJC23"/>
      <c r="VJD23"/>
      <c r="VJE23"/>
      <c r="VJF23"/>
      <c r="VJG23"/>
      <c r="VJH23"/>
      <c r="VJI23"/>
      <c r="VJJ23"/>
      <c r="VJK23"/>
      <c r="VJL23"/>
      <c r="VJM23"/>
      <c r="VJN23"/>
      <c r="VJO23"/>
      <c r="VJP23"/>
      <c r="VJQ23"/>
      <c r="VJR23"/>
      <c r="VJS23"/>
      <c r="VJT23"/>
      <c r="VJU23"/>
      <c r="VJV23"/>
      <c r="VJW23"/>
      <c r="VJX23"/>
      <c r="VJY23"/>
      <c r="VJZ23"/>
      <c r="VKA23"/>
      <c r="VKB23"/>
      <c r="VKC23"/>
      <c r="VKD23"/>
      <c r="VKE23"/>
      <c r="VKF23"/>
      <c r="VKG23"/>
      <c r="VKH23"/>
      <c r="VKI23"/>
      <c r="VKJ23"/>
      <c r="VKK23"/>
      <c r="VKL23"/>
      <c r="VKM23"/>
      <c r="VKN23"/>
      <c r="VKO23"/>
      <c r="VKP23"/>
      <c r="VKQ23"/>
      <c r="VKR23"/>
      <c r="VKS23"/>
      <c r="VKT23"/>
      <c r="VKU23"/>
      <c r="VKV23"/>
      <c r="VKW23"/>
      <c r="VKX23"/>
      <c r="VKY23"/>
      <c r="VKZ23"/>
      <c r="VLA23"/>
      <c r="VLB23"/>
      <c r="VLC23"/>
      <c r="VLD23"/>
      <c r="VLE23"/>
      <c r="VLF23"/>
      <c r="VLG23"/>
      <c r="VLH23"/>
      <c r="VLI23"/>
      <c r="VLJ23"/>
      <c r="VLK23"/>
      <c r="VLL23"/>
      <c r="VLM23"/>
      <c r="VLN23"/>
      <c r="VLO23"/>
      <c r="VLP23"/>
      <c r="VLQ23"/>
      <c r="VLR23"/>
      <c r="VLS23"/>
      <c r="VLT23"/>
      <c r="VLU23"/>
      <c r="VLV23"/>
      <c r="VLW23"/>
      <c r="VLX23"/>
      <c r="VLY23"/>
      <c r="VLZ23"/>
      <c r="VMA23"/>
      <c r="VMB23"/>
      <c r="VMC23"/>
      <c r="VMD23"/>
      <c r="VME23"/>
      <c r="VMF23"/>
      <c r="VMG23"/>
      <c r="VMH23"/>
      <c r="VMI23"/>
      <c r="VMJ23"/>
      <c r="VMK23"/>
      <c r="VML23"/>
      <c r="VMM23"/>
      <c r="VMN23"/>
      <c r="VMO23"/>
      <c r="VMP23"/>
      <c r="VMQ23"/>
      <c r="VMR23"/>
      <c r="VMS23"/>
      <c r="VMT23"/>
      <c r="VMU23"/>
      <c r="VMV23"/>
      <c r="VMW23"/>
      <c r="VMX23"/>
      <c r="VMY23"/>
      <c r="VMZ23"/>
      <c r="VNA23"/>
      <c r="VNB23"/>
      <c r="VNC23"/>
      <c r="VND23"/>
      <c r="VNE23"/>
      <c r="VNF23"/>
      <c r="VNG23"/>
      <c r="VNH23"/>
      <c r="VNI23"/>
      <c r="VNJ23"/>
      <c r="VNK23"/>
      <c r="VNL23"/>
      <c r="VNM23"/>
      <c r="VNN23"/>
      <c r="VNO23"/>
      <c r="VNP23"/>
      <c r="VNQ23"/>
      <c r="VNR23"/>
      <c r="VNS23"/>
      <c r="VNT23"/>
      <c r="VNU23"/>
      <c r="VNV23"/>
      <c r="VNW23"/>
      <c r="VNX23"/>
      <c r="VNY23"/>
      <c r="VNZ23"/>
      <c r="VOA23"/>
      <c r="VOB23"/>
      <c r="VOC23"/>
      <c r="VOD23"/>
      <c r="VOE23"/>
      <c r="VOF23"/>
      <c r="VOG23"/>
      <c r="VOH23"/>
      <c r="VOI23"/>
      <c r="VOJ23"/>
      <c r="VOK23"/>
      <c r="VOL23"/>
      <c r="VOM23"/>
      <c r="VON23"/>
      <c r="VOO23"/>
      <c r="VOP23"/>
      <c r="VOQ23"/>
      <c r="VOR23"/>
      <c r="VOS23"/>
      <c r="VOT23"/>
      <c r="VOU23"/>
      <c r="VOV23"/>
      <c r="VOW23"/>
      <c r="VOX23"/>
      <c r="VOY23"/>
      <c r="VOZ23"/>
      <c r="VPA23"/>
      <c r="VPB23"/>
      <c r="VPC23"/>
      <c r="VPD23"/>
      <c r="VPE23"/>
      <c r="VPF23"/>
      <c r="VPG23"/>
      <c r="VPH23"/>
      <c r="VPI23"/>
      <c r="VPJ23"/>
      <c r="VPK23"/>
      <c r="VPL23"/>
      <c r="VPM23"/>
      <c r="VPN23"/>
      <c r="VPO23"/>
      <c r="VPP23"/>
      <c r="VPQ23"/>
      <c r="VPR23"/>
      <c r="VPS23"/>
      <c r="VPT23"/>
      <c r="VPU23"/>
      <c r="VPV23"/>
      <c r="VPW23"/>
      <c r="VPX23"/>
      <c r="VPY23"/>
      <c r="VPZ23"/>
      <c r="VQA23"/>
      <c r="VQB23"/>
      <c r="VQC23"/>
      <c r="VQD23"/>
      <c r="VQE23"/>
      <c r="VQF23"/>
      <c r="VQG23"/>
      <c r="VQH23"/>
      <c r="VQI23"/>
      <c r="VQJ23"/>
      <c r="VQK23"/>
      <c r="VQL23"/>
      <c r="VQM23"/>
      <c r="VQN23"/>
      <c r="VQO23"/>
      <c r="VQP23"/>
      <c r="VQQ23"/>
      <c r="VQR23"/>
      <c r="VQS23"/>
      <c r="VQT23"/>
      <c r="VQU23"/>
      <c r="VQV23"/>
      <c r="VQW23"/>
      <c r="VQX23"/>
      <c r="VQY23"/>
      <c r="VQZ23"/>
      <c r="VRA23"/>
      <c r="VRB23"/>
      <c r="VRC23"/>
      <c r="VRD23"/>
      <c r="VRE23"/>
      <c r="VRF23"/>
      <c r="VRG23"/>
      <c r="VRH23"/>
      <c r="VRI23"/>
      <c r="VRJ23"/>
      <c r="VRK23"/>
      <c r="VRL23"/>
      <c r="VRM23"/>
      <c r="VRN23"/>
      <c r="VRO23"/>
      <c r="VRP23"/>
      <c r="VRQ23"/>
      <c r="VRR23"/>
      <c r="VRS23"/>
      <c r="VRT23"/>
      <c r="VRU23"/>
      <c r="VRV23"/>
      <c r="VRW23"/>
      <c r="VRX23"/>
      <c r="VRY23"/>
      <c r="VRZ23"/>
      <c r="VSA23"/>
      <c r="VSB23"/>
      <c r="VSC23"/>
      <c r="VSD23"/>
      <c r="VSE23"/>
      <c r="VSF23"/>
      <c r="VSG23"/>
      <c r="VSH23"/>
      <c r="VSI23"/>
      <c r="VSJ23"/>
      <c r="VSK23"/>
      <c r="VSL23"/>
      <c r="VSM23"/>
      <c r="VSN23"/>
      <c r="VSO23"/>
      <c r="VSP23"/>
      <c r="VSQ23"/>
      <c r="VSR23"/>
      <c r="VSS23"/>
      <c r="VST23"/>
      <c r="VSU23"/>
      <c r="VSV23"/>
      <c r="VSW23"/>
      <c r="VSX23"/>
      <c r="VSY23"/>
      <c r="VSZ23"/>
      <c r="VTA23"/>
      <c r="VTB23"/>
      <c r="VTC23"/>
      <c r="VTD23"/>
      <c r="VTE23"/>
      <c r="VTF23"/>
      <c r="VTG23"/>
      <c r="VTH23"/>
      <c r="VTI23"/>
      <c r="VTJ23"/>
      <c r="VTK23"/>
      <c r="VTL23"/>
      <c r="VTM23"/>
      <c r="VTN23"/>
      <c r="VTO23"/>
      <c r="VTP23"/>
      <c r="VTQ23"/>
      <c r="VTR23"/>
      <c r="VTS23"/>
      <c r="VTT23"/>
      <c r="VTU23"/>
      <c r="VTV23"/>
      <c r="VTW23"/>
      <c r="VTX23"/>
      <c r="VTY23"/>
      <c r="VTZ23"/>
      <c r="VUA23"/>
      <c r="VUB23"/>
      <c r="VUC23"/>
      <c r="VUD23"/>
      <c r="VUE23"/>
      <c r="VUF23"/>
      <c r="VUG23"/>
      <c r="VUH23"/>
      <c r="VUI23"/>
      <c r="VUJ23"/>
      <c r="VUK23"/>
      <c r="VUL23"/>
      <c r="VUM23"/>
      <c r="VUN23"/>
      <c r="VUO23"/>
      <c r="VUP23"/>
      <c r="VUQ23"/>
      <c r="VUR23"/>
      <c r="VUS23"/>
      <c r="VUT23"/>
      <c r="VUU23"/>
      <c r="VUV23"/>
      <c r="VUW23"/>
      <c r="VUX23"/>
      <c r="VUY23"/>
      <c r="VUZ23"/>
      <c r="VVA23"/>
      <c r="VVB23"/>
      <c r="VVC23"/>
      <c r="VVD23"/>
      <c r="VVE23"/>
      <c r="VVF23"/>
      <c r="VVG23"/>
      <c r="VVH23"/>
      <c r="VVI23"/>
      <c r="VVJ23"/>
      <c r="VVK23"/>
      <c r="VVL23"/>
      <c r="VVM23"/>
      <c r="VVN23"/>
      <c r="VVO23"/>
      <c r="VVP23"/>
      <c r="VVQ23"/>
      <c r="VVR23"/>
      <c r="VVS23"/>
      <c r="VVT23"/>
      <c r="VVU23"/>
      <c r="VVV23"/>
      <c r="VVW23"/>
      <c r="VVX23"/>
      <c r="VVY23"/>
      <c r="VVZ23"/>
      <c r="VWA23"/>
      <c r="VWB23"/>
      <c r="VWC23"/>
      <c r="VWD23"/>
      <c r="VWE23"/>
      <c r="VWF23"/>
      <c r="VWG23"/>
      <c r="VWH23"/>
      <c r="VWI23"/>
      <c r="VWJ23"/>
      <c r="VWK23"/>
      <c r="VWL23"/>
      <c r="VWM23"/>
      <c r="VWN23"/>
      <c r="VWO23"/>
      <c r="VWP23"/>
      <c r="VWQ23"/>
      <c r="VWR23"/>
      <c r="VWS23"/>
      <c r="VWT23"/>
      <c r="VWU23"/>
      <c r="VWV23"/>
      <c r="VWW23"/>
      <c r="VWX23"/>
      <c r="VWY23"/>
      <c r="VWZ23"/>
      <c r="VXA23"/>
      <c r="VXB23"/>
      <c r="VXC23"/>
      <c r="VXD23"/>
      <c r="VXE23"/>
      <c r="VXF23"/>
      <c r="VXG23"/>
      <c r="VXH23"/>
      <c r="VXI23"/>
      <c r="VXJ23"/>
      <c r="VXK23"/>
      <c r="VXL23"/>
      <c r="VXM23"/>
      <c r="VXN23"/>
      <c r="VXO23"/>
      <c r="VXP23"/>
      <c r="VXQ23"/>
      <c r="VXR23"/>
      <c r="VXS23"/>
      <c r="VXT23"/>
      <c r="VXU23"/>
      <c r="VXV23"/>
      <c r="VXW23"/>
      <c r="VXX23"/>
      <c r="VXY23"/>
      <c r="VXZ23"/>
      <c r="VYA23"/>
      <c r="VYB23"/>
      <c r="VYC23"/>
      <c r="VYD23"/>
      <c r="VYE23"/>
      <c r="VYF23"/>
      <c r="VYG23"/>
      <c r="VYH23"/>
      <c r="VYI23"/>
      <c r="VYJ23"/>
      <c r="VYK23"/>
      <c r="VYL23"/>
      <c r="VYM23"/>
      <c r="VYN23"/>
      <c r="VYO23"/>
      <c r="VYP23"/>
      <c r="VYQ23"/>
      <c r="VYR23"/>
      <c r="VYS23"/>
      <c r="VYT23"/>
      <c r="VYU23"/>
      <c r="VYV23"/>
      <c r="VYW23"/>
      <c r="VYX23"/>
      <c r="VYY23"/>
      <c r="VYZ23"/>
      <c r="VZA23"/>
      <c r="VZB23"/>
      <c r="VZC23"/>
      <c r="VZD23"/>
      <c r="VZE23"/>
      <c r="VZF23"/>
      <c r="VZG23"/>
      <c r="VZH23"/>
      <c r="VZI23"/>
      <c r="VZJ23"/>
      <c r="VZK23"/>
      <c r="VZL23"/>
      <c r="VZM23"/>
      <c r="VZN23"/>
      <c r="VZO23"/>
      <c r="VZP23"/>
      <c r="VZQ23"/>
      <c r="VZR23"/>
      <c r="VZS23"/>
      <c r="VZT23"/>
      <c r="VZU23"/>
      <c r="VZV23"/>
      <c r="VZW23"/>
      <c r="VZX23"/>
      <c r="VZY23"/>
      <c r="VZZ23"/>
      <c r="WAA23"/>
      <c r="WAB23"/>
      <c r="WAC23"/>
      <c r="WAD23"/>
      <c r="WAE23"/>
      <c r="WAF23"/>
      <c r="WAG23"/>
      <c r="WAH23"/>
      <c r="WAI23"/>
      <c r="WAJ23"/>
      <c r="WAK23"/>
      <c r="WAL23"/>
      <c r="WAM23"/>
      <c r="WAN23"/>
      <c r="WAO23"/>
      <c r="WAP23"/>
      <c r="WAQ23"/>
      <c r="WAR23"/>
      <c r="WAS23"/>
      <c r="WAT23"/>
      <c r="WAU23"/>
      <c r="WAV23"/>
      <c r="WAW23"/>
      <c r="WAX23"/>
      <c r="WAY23"/>
      <c r="WAZ23"/>
      <c r="WBA23"/>
      <c r="WBB23"/>
      <c r="WBC23"/>
      <c r="WBD23"/>
      <c r="WBE23"/>
      <c r="WBF23"/>
      <c r="WBG23"/>
      <c r="WBH23"/>
      <c r="WBI23"/>
      <c r="WBJ23"/>
      <c r="WBK23"/>
      <c r="WBL23"/>
      <c r="WBM23"/>
      <c r="WBN23"/>
      <c r="WBO23"/>
      <c r="WBP23"/>
      <c r="WBQ23"/>
      <c r="WBR23"/>
      <c r="WBS23"/>
      <c r="WBT23"/>
      <c r="WBU23"/>
      <c r="WBV23"/>
      <c r="WBW23"/>
      <c r="WBX23"/>
      <c r="WBY23"/>
      <c r="WBZ23"/>
      <c r="WCA23"/>
      <c r="WCB23"/>
      <c r="WCC23"/>
      <c r="WCD23"/>
      <c r="WCE23"/>
      <c r="WCF23"/>
      <c r="WCG23"/>
      <c r="WCH23"/>
      <c r="WCI23"/>
      <c r="WCJ23"/>
      <c r="WCK23"/>
      <c r="WCL23"/>
      <c r="WCM23"/>
      <c r="WCN23"/>
      <c r="WCO23"/>
      <c r="WCP23"/>
      <c r="WCQ23"/>
      <c r="WCR23"/>
      <c r="WCS23"/>
      <c r="WCT23"/>
      <c r="WCU23"/>
      <c r="WCV23"/>
      <c r="WCW23"/>
      <c r="WCX23"/>
      <c r="WCY23"/>
      <c r="WCZ23"/>
      <c r="WDA23"/>
      <c r="WDB23"/>
      <c r="WDC23"/>
      <c r="WDD23"/>
      <c r="WDE23"/>
      <c r="WDF23"/>
      <c r="WDG23"/>
      <c r="WDH23"/>
      <c r="WDI23"/>
      <c r="WDJ23"/>
      <c r="WDK23"/>
      <c r="WDL23"/>
      <c r="WDM23"/>
      <c r="WDN23"/>
      <c r="WDO23"/>
      <c r="WDP23"/>
      <c r="WDQ23"/>
      <c r="WDR23"/>
      <c r="WDS23"/>
      <c r="WDT23"/>
      <c r="WDU23"/>
      <c r="WDV23"/>
      <c r="WDW23"/>
      <c r="WDX23"/>
      <c r="WDY23"/>
      <c r="WDZ23"/>
      <c r="WEA23"/>
      <c r="WEB23"/>
      <c r="WEC23"/>
      <c r="WED23"/>
      <c r="WEE23"/>
      <c r="WEF23"/>
      <c r="WEG23"/>
      <c r="WEH23"/>
      <c r="WEI23"/>
      <c r="WEJ23"/>
      <c r="WEK23"/>
      <c r="WEL23"/>
      <c r="WEM23"/>
      <c r="WEN23"/>
      <c r="WEO23"/>
      <c r="WEP23"/>
      <c r="WEQ23"/>
      <c r="WER23"/>
      <c r="WES23"/>
      <c r="WET23"/>
      <c r="WEU23"/>
      <c r="WEV23"/>
      <c r="WEW23"/>
      <c r="WEX23"/>
      <c r="WEY23"/>
      <c r="WEZ23"/>
      <c r="WFA23"/>
      <c r="WFB23"/>
      <c r="WFC23"/>
      <c r="WFD23"/>
      <c r="WFE23"/>
      <c r="WFF23"/>
      <c r="WFG23"/>
      <c r="WFH23"/>
      <c r="WFI23"/>
      <c r="WFJ23"/>
      <c r="WFK23"/>
      <c r="WFL23"/>
      <c r="WFM23"/>
      <c r="WFN23"/>
      <c r="WFO23"/>
      <c r="WFP23"/>
      <c r="WFQ23"/>
      <c r="WFR23"/>
      <c r="WFS23"/>
      <c r="WFT23"/>
      <c r="WFU23"/>
      <c r="WFV23"/>
      <c r="WFW23"/>
      <c r="WFX23"/>
      <c r="WFY23"/>
      <c r="WFZ23"/>
      <c r="WGA23"/>
      <c r="WGB23"/>
      <c r="WGC23"/>
      <c r="WGD23"/>
      <c r="WGE23"/>
      <c r="WGF23"/>
      <c r="WGG23"/>
      <c r="WGH23"/>
      <c r="WGI23"/>
      <c r="WGJ23"/>
      <c r="WGK23"/>
      <c r="WGL23"/>
      <c r="WGM23"/>
      <c r="WGN23"/>
      <c r="WGO23"/>
      <c r="WGP23"/>
      <c r="WGQ23"/>
      <c r="WGR23"/>
      <c r="WGS23"/>
      <c r="WGT23"/>
      <c r="WGU23"/>
      <c r="WGV23"/>
      <c r="WGW23"/>
      <c r="WGX23"/>
      <c r="WGY23"/>
      <c r="WGZ23"/>
      <c r="WHA23"/>
      <c r="WHB23"/>
      <c r="WHC23"/>
      <c r="WHD23"/>
      <c r="WHE23"/>
      <c r="WHF23"/>
      <c r="WHG23"/>
      <c r="WHH23"/>
      <c r="WHI23"/>
      <c r="WHJ23"/>
      <c r="WHK23"/>
      <c r="WHL23"/>
      <c r="WHM23"/>
      <c r="WHN23"/>
      <c r="WHO23"/>
      <c r="WHP23"/>
      <c r="WHQ23"/>
      <c r="WHR23"/>
      <c r="WHS23"/>
      <c r="WHT23"/>
      <c r="WHU23"/>
      <c r="WHV23"/>
      <c r="WHW23"/>
      <c r="WHX23"/>
      <c r="WHY23"/>
      <c r="WHZ23"/>
      <c r="WIA23"/>
      <c r="WIB23"/>
      <c r="WIC23"/>
      <c r="WID23"/>
      <c r="WIE23"/>
      <c r="WIF23"/>
      <c r="WIG23"/>
      <c r="WIH23"/>
      <c r="WII23"/>
      <c r="WIJ23"/>
      <c r="WIK23"/>
      <c r="WIL23"/>
      <c r="WIM23"/>
      <c r="WIN23"/>
      <c r="WIO23"/>
      <c r="WIP23"/>
      <c r="WIQ23"/>
      <c r="WIR23"/>
      <c r="WIS23"/>
      <c r="WIT23"/>
      <c r="WIU23"/>
      <c r="WIV23"/>
      <c r="WIW23"/>
      <c r="WIX23"/>
      <c r="WIY23"/>
      <c r="WIZ23"/>
      <c r="WJA23"/>
      <c r="WJB23"/>
      <c r="WJC23"/>
      <c r="WJD23"/>
      <c r="WJE23"/>
      <c r="WJF23"/>
      <c r="WJG23"/>
      <c r="WJH23"/>
      <c r="WJI23"/>
      <c r="WJJ23"/>
      <c r="WJK23"/>
      <c r="WJL23"/>
      <c r="WJM23"/>
      <c r="WJN23"/>
      <c r="WJO23"/>
      <c r="WJP23"/>
      <c r="WJQ23"/>
      <c r="WJR23"/>
      <c r="WJS23"/>
      <c r="WJT23"/>
      <c r="WJU23"/>
      <c r="WJV23"/>
      <c r="WJW23"/>
      <c r="WJX23"/>
      <c r="WJY23"/>
      <c r="WJZ23"/>
      <c r="WKA23"/>
      <c r="WKB23"/>
      <c r="WKC23"/>
      <c r="WKD23"/>
      <c r="WKE23"/>
      <c r="WKF23"/>
      <c r="WKG23"/>
      <c r="WKH23"/>
      <c r="WKI23"/>
      <c r="WKJ23"/>
      <c r="WKK23"/>
      <c r="WKL23"/>
      <c r="WKM23"/>
      <c r="WKN23"/>
      <c r="WKO23"/>
      <c r="WKP23"/>
      <c r="WKQ23"/>
      <c r="WKR23"/>
      <c r="WKS23"/>
      <c r="WKT23"/>
      <c r="WKU23"/>
      <c r="WKV23"/>
      <c r="WKW23"/>
      <c r="WKX23"/>
      <c r="WKY23"/>
      <c r="WKZ23"/>
      <c r="WLA23"/>
      <c r="WLB23"/>
      <c r="WLC23"/>
      <c r="WLD23"/>
      <c r="WLE23"/>
      <c r="WLF23"/>
      <c r="WLG23"/>
      <c r="WLH23"/>
      <c r="WLI23"/>
      <c r="WLJ23"/>
      <c r="WLK23"/>
      <c r="WLL23"/>
      <c r="WLM23"/>
      <c r="WLN23"/>
      <c r="WLO23"/>
      <c r="WLP23"/>
      <c r="WLQ23"/>
      <c r="WLR23"/>
      <c r="WLS23"/>
      <c r="WLT23"/>
      <c r="WLU23"/>
      <c r="WLV23"/>
      <c r="WLW23"/>
      <c r="WLX23"/>
      <c r="WLY23"/>
      <c r="WLZ23"/>
      <c r="WMA23"/>
      <c r="WMB23"/>
      <c r="WMC23"/>
      <c r="WMD23"/>
      <c r="WME23"/>
      <c r="WMF23"/>
      <c r="WMG23"/>
      <c r="WMH23"/>
      <c r="WMI23"/>
      <c r="WMJ23"/>
      <c r="WMK23"/>
      <c r="WML23"/>
      <c r="WMM23"/>
      <c r="WMN23"/>
      <c r="WMO23"/>
      <c r="WMP23"/>
      <c r="WMQ23"/>
      <c r="WMR23"/>
      <c r="WMS23"/>
      <c r="WMT23"/>
      <c r="WMU23"/>
      <c r="WMV23"/>
      <c r="WMW23"/>
      <c r="WMX23"/>
      <c r="WMY23"/>
      <c r="WMZ23"/>
      <c r="WNA23"/>
      <c r="WNB23"/>
      <c r="WNC23"/>
      <c r="WND23"/>
      <c r="WNE23"/>
      <c r="WNF23"/>
      <c r="WNG23"/>
      <c r="WNH23"/>
      <c r="WNI23"/>
      <c r="WNJ23"/>
      <c r="WNK23"/>
      <c r="WNL23"/>
      <c r="WNM23"/>
      <c r="WNN23"/>
      <c r="WNO23"/>
      <c r="WNP23"/>
      <c r="WNQ23"/>
      <c r="WNR23"/>
      <c r="WNS23"/>
      <c r="WNT23"/>
      <c r="WNU23"/>
      <c r="WNV23"/>
      <c r="WNW23"/>
      <c r="WNX23"/>
      <c r="WNY23"/>
      <c r="WNZ23"/>
      <c r="WOA23"/>
      <c r="WOB23"/>
      <c r="WOC23"/>
      <c r="WOD23"/>
      <c r="WOE23"/>
      <c r="WOF23"/>
      <c r="WOG23"/>
      <c r="WOH23"/>
      <c r="WOI23"/>
      <c r="WOJ23"/>
      <c r="WOK23"/>
      <c r="WOL23"/>
      <c r="WOM23"/>
      <c r="WON23"/>
      <c r="WOO23"/>
      <c r="WOP23"/>
      <c r="WOQ23"/>
      <c r="WOR23"/>
      <c r="WOS23"/>
      <c r="WOT23"/>
      <c r="WOU23"/>
      <c r="WOV23"/>
      <c r="WOW23"/>
      <c r="WOX23"/>
      <c r="WOY23"/>
      <c r="WOZ23"/>
      <c r="WPA23"/>
      <c r="WPB23"/>
      <c r="WPC23"/>
      <c r="WPD23"/>
      <c r="WPE23"/>
      <c r="WPF23"/>
      <c r="WPG23"/>
      <c r="WPH23"/>
      <c r="WPI23"/>
      <c r="WPJ23"/>
      <c r="WPK23"/>
      <c r="WPL23"/>
      <c r="WPM23"/>
      <c r="WPN23"/>
      <c r="WPO23"/>
      <c r="WPP23"/>
      <c r="WPQ23"/>
      <c r="WPR23"/>
      <c r="WPS23"/>
      <c r="WPT23"/>
      <c r="WPU23"/>
      <c r="WPV23"/>
      <c r="WPW23"/>
      <c r="WPX23"/>
      <c r="WPY23"/>
      <c r="WPZ23"/>
      <c r="WQA23"/>
      <c r="WQB23"/>
      <c r="WQC23"/>
      <c r="WQD23"/>
      <c r="WQE23"/>
      <c r="WQF23"/>
      <c r="WQG23"/>
      <c r="WQH23"/>
      <c r="WQI23"/>
      <c r="WQJ23"/>
      <c r="WQK23"/>
      <c r="WQL23"/>
      <c r="WQM23"/>
      <c r="WQN23"/>
      <c r="WQO23"/>
      <c r="WQP23"/>
      <c r="WQQ23"/>
      <c r="WQR23"/>
      <c r="WQS23"/>
      <c r="WQT23"/>
      <c r="WQU23"/>
      <c r="WQV23"/>
      <c r="WQW23"/>
      <c r="WQX23"/>
      <c r="WQY23"/>
      <c r="WQZ23"/>
      <c r="WRA23"/>
      <c r="WRB23"/>
      <c r="WRC23"/>
      <c r="WRD23"/>
      <c r="WRE23"/>
      <c r="WRF23"/>
      <c r="WRG23"/>
      <c r="WRH23"/>
      <c r="WRI23"/>
      <c r="WRJ23"/>
      <c r="WRK23"/>
      <c r="WRL23"/>
      <c r="WRM23"/>
      <c r="WRN23"/>
      <c r="WRO23"/>
      <c r="WRP23"/>
      <c r="WRQ23"/>
      <c r="WRR23"/>
      <c r="WRS23"/>
      <c r="WRT23"/>
      <c r="WRU23"/>
      <c r="WRV23"/>
      <c r="WRW23"/>
      <c r="WRX23"/>
      <c r="WRY23"/>
      <c r="WRZ23"/>
      <c r="WSA23"/>
      <c r="WSB23"/>
      <c r="WSC23"/>
      <c r="WSD23"/>
      <c r="WSE23"/>
      <c r="WSF23"/>
      <c r="WSG23"/>
      <c r="WSH23"/>
      <c r="WSI23"/>
      <c r="WSJ23"/>
      <c r="WSK23"/>
      <c r="WSL23"/>
      <c r="WSM23"/>
      <c r="WSN23"/>
      <c r="WSO23"/>
      <c r="WSP23"/>
      <c r="WSQ23"/>
      <c r="WSR23"/>
      <c r="WSS23"/>
      <c r="WST23"/>
      <c r="WSU23"/>
      <c r="WSV23"/>
      <c r="WSW23"/>
      <c r="WSX23"/>
      <c r="WSY23"/>
      <c r="WSZ23"/>
      <c r="WTA23"/>
      <c r="WTB23"/>
      <c r="WTC23"/>
      <c r="WTD23"/>
      <c r="WTE23"/>
      <c r="WTF23"/>
      <c r="WTG23"/>
      <c r="WTH23"/>
      <c r="WTI23"/>
      <c r="WTJ23"/>
      <c r="WTK23"/>
      <c r="WTL23"/>
      <c r="WTM23"/>
      <c r="WTN23"/>
      <c r="WTO23"/>
      <c r="WTP23"/>
      <c r="WTQ23"/>
      <c r="WTR23"/>
      <c r="WTS23"/>
      <c r="WTT23"/>
      <c r="WTU23"/>
      <c r="WTV23"/>
      <c r="WTW23"/>
      <c r="WTX23"/>
      <c r="WTY23"/>
      <c r="WTZ23"/>
      <c r="WUA23"/>
      <c r="WUB23"/>
      <c r="WUC23"/>
      <c r="WUD23"/>
      <c r="WUE23"/>
      <c r="WUF23"/>
      <c r="WUG23"/>
      <c r="WUH23"/>
      <c r="WUI23"/>
      <c r="WUJ23"/>
      <c r="WUK23"/>
      <c r="WUL23"/>
      <c r="WUM23"/>
      <c r="WUN23"/>
      <c r="WUO23"/>
      <c r="WUP23"/>
      <c r="WUQ23"/>
      <c r="WUR23"/>
      <c r="WUS23"/>
      <c r="WUT23"/>
      <c r="WUU23"/>
      <c r="WUV23"/>
      <c r="WUW23"/>
      <c r="WUX23"/>
      <c r="WUY23"/>
      <c r="WUZ23"/>
      <c r="WVA23"/>
      <c r="WVB23"/>
      <c r="WVC23"/>
      <c r="WVD23"/>
      <c r="WVE23"/>
      <c r="WVF23"/>
      <c r="WVG23"/>
      <c r="WVH23"/>
      <c r="WVI23"/>
      <c r="WVJ23"/>
      <c r="WVK23"/>
      <c r="WVL23"/>
      <c r="WVM23"/>
      <c r="WVN23"/>
      <c r="WVO23"/>
      <c r="WVP23"/>
      <c r="WVQ23"/>
      <c r="WVR23"/>
      <c r="WVS23"/>
      <c r="WVT23"/>
      <c r="WVU23"/>
      <c r="WVV23"/>
      <c r="WVW23"/>
      <c r="WVX23"/>
      <c r="WVY23"/>
      <c r="WVZ23"/>
      <c r="WWA23"/>
      <c r="WWB23"/>
      <c r="WWC23"/>
      <c r="WWD23"/>
      <c r="WWE23"/>
      <c r="WWF23"/>
      <c r="WWG23"/>
      <c r="WWH23"/>
      <c r="WWI23"/>
      <c r="WWJ23"/>
      <c r="WWK23"/>
      <c r="WWL23"/>
      <c r="WWM23"/>
      <c r="WWN23"/>
      <c r="WWO23"/>
      <c r="WWP23"/>
      <c r="WWQ23"/>
      <c r="WWR23"/>
      <c r="WWS23"/>
      <c r="WWT23"/>
      <c r="WWU23"/>
      <c r="WWV23"/>
      <c r="WWW23"/>
      <c r="WWX23"/>
      <c r="WWY23"/>
      <c r="WWZ23"/>
      <c r="WXA23"/>
      <c r="WXB23"/>
      <c r="WXC23"/>
      <c r="WXD23"/>
      <c r="WXE23"/>
      <c r="WXF23"/>
      <c r="WXG23"/>
      <c r="WXH23"/>
      <c r="WXI23"/>
      <c r="WXJ23"/>
      <c r="WXK23"/>
      <c r="WXL23"/>
      <c r="WXM23"/>
      <c r="WXN23"/>
      <c r="WXO23"/>
      <c r="WXP23"/>
      <c r="WXQ23"/>
      <c r="WXR23"/>
      <c r="WXS23"/>
      <c r="WXT23"/>
      <c r="WXU23"/>
      <c r="WXV23"/>
      <c r="WXW23"/>
      <c r="WXX23"/>
      <c r="WXY23"/>
      <c r="WXZ23"/>
      <c r="WYA23"/>
      <c r="WYB23"/>
      <c r="WYC23"/>
      <c r="WYD23"/>
      <c r="WYE23"/>
      <c r="WYF23"/>
      <c r="WYG23"/>
      <c r="WYH23"/>
      <c r="WYI23"/>
      <c r="WYJ23"/>
      <c r="WYK23"/>
      <c r="WYL23"/>
      <c r="WYM23"/>
      <c r="WYN23"/>
      <c r="WYO23"/>
      <c r="WYP23"/>
      <c r="WYQ23"/>
      <c r="WYR23"/>
      <c r="WYS23"/>
      <c r="WYT23"/>
      <c r="WYU23"/>
      <c r="WYV23"/>
      <c r="WYW23"/>
      <c r="WYX23"/>
      <c r="WYY23"/>
      <c r="WYZ23"/>
      <c r="WZA23"/>
      <c r="WZB23"/>
      <c r="WZC23"/>
      <c r="WZD23"/>
      <c r="WZE23"/>
      <c r="WZF23"/>
      <c r="WZG23"/>
      <c r="WZH23"/>
      <c r="WZI23"/>
      <c r="WZJ23"/>
      <c r="WZK23"/>
      <c r="WZL23"/>
      <c r="WZM23"/>
      <c r="WZN23"/>
      <c r="WZO23"/>
      <c r="WZP23"/>
      <c r="WZQ23"/>
      <c r="WZR23"/>
      <c r="WZS23"/>
      <c r="WZT23"/>
      <c r="WZU23"/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/>
      <c r="XBR23"/>
      <c r="XBS23"/>
      <c r="XBT23"/>
      <c r="XBU23"/>
      <c r="XBV23"/>
      <c r="XBW23"/>
      <c r="XBX23"/>
      <c r="XBY23"/>
      <c r="XBZ23"/>
      <c r="XCA23"/>
      <c r="XCB23"/>
      <c r="XCC23"/>
      <c r="XCD23"/>
      <c r="XCE23"/>
      <c r="XCF23"/>
      <c r="XCG23"/>
      <c r="XCH23"/>
      <c r="XCI23"/>
      <c r="XCJ23"/>
      <c r="XCK23"/>
      <c r="XCL23"/>
      <c r="XCM23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  <c r="XEZ23"/>
      <c r="XFA23"/>
      <c r="XFB23"/>
    </row>
    <row r="24" spans="1:16382" x14ac:dyDescent="0.3">
      <c r="F24" s="25"/>
      <c r="G24" s="25"/>
    </row>
    <row r="25" spans="1:16382" x14ac:dyDescent="0.3">
      <c r="F25" s="25"/>
      <c r="G25" s="25"/>
    </row>
    <row r="26" spans="1:16382" x14ac:dyDescent="0.3">
      <c r="F26" s="25"/>
      <c r="G26" s="25"/>
    </row>
    <row r="27" spans="1:16382" x14ac:dyDescent="0.3">
      <c r="F27" s="25"/>
      <c r="G27" s="25"/>
    </row>
    <row r="28" spans="1:16382" x14ac:dyDescent="0.3">
      <c r="F28" s="25"/>
      <c r="G28" s="25"/>
    </row>
    <row r="29" spans="1:16382" x14ac:dyDescent="0.3">
      <c r="F29" s="25"/>
      <c r="G29" s="25"/>
    </row>
    <row r="30" spans="1:16382" x14ac:dyDescent="0.3">
      <c r="F30" s="25"/>
      <c r="G30" s="25"/>
    </row>
    <row r="31" spans="1:16382" x14ac:dyDescent="0.3">
      <c r="F31" s="25"/>
      <c r="G31" s="25"/>
    </row>
    <row r="32" spans="1:16382" s="27" customFormat="1" x14ac:dyDescent="0.3">
      <c r="A32" s="20"/>
      <c r="B32" s="21"/>
      <c r="C32" s="22"/>
      <c r="D32" s="22"/>
      <c r="E32" s="24"/>
      <c r="F32" s="25"/>
      <c r="G32" s="25"/>
      <c r="H32" s="24"/>
      <c r="K32" s="28"/>
      <c r="L32" s="28"/>
      <c r="M32" s="28"/>
      <c r="N32" s="28"/>
      <c r="O32" s="28"/>
      <c r="P32" s="28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1:38" s="27" customFormat="1" x14ac:dyDescent="0.3">
      <c r="A33" s="20"/>
      <c r="B33" s="21"/>
      <c r="C33" s="22"/>
      <c r="D33" s="22"/>
      <c r="E33" s="24"/>
      <c r="F33" s="25"/>
      <c r="G33" s="25"/>
      <c r="H33" s="24"/>
      <c r="K33" s="28"/>
      <c r="L33" s="28"/>
      <c r="M33" s="28"/>
      <c r="N33" s="28"/>
      <c r="O33" s="28"/>
      <c r="P33" s="28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1:38" s="27" customFormat="1" x14ac:dyDescent="0.3">
      <c r="A34" s="20"/>
      <c r="B34" s="21"/>
      <c r="C34" s="22"/>
      <c r="D34" s="22"/>
      <c r="E34" s="24"/>
      <c r="F34" s="25"/>
      <c r="G34" s="25"/>
      <c r="H34" s="24"/>
      <c r="K34" s="28"/>
      <c r="L34" s="28"/>
      <c r="M34" s="28"/>
      <c r="N34" s="28"/>
      <c r="O34" s="28"/>
      <c r="P34" s="28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1:38" s="27" customFormat="1" x14ac:dyDescent="0.3">
      <c r="A35" s="20"/>
      <c r="B35" s="21"/>
      <c r="C35" s="22"/>
      <c r="D35" s="22"/>
      <c r="E35" s="24"/>
      <c r="F35" s="25"/>
      <c r="G35" s="25"/>
      <c r="H35" s="24"/>
      <c r="K35" s="28"/>
      <c r="L35" s="28"/>
      <c r="M35" s="28"/>
      <c r="N35" s="28"/>
      <c r="O35" s="28"/>
      <c r="P35" s="28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1:38" s="27" customFormat="1" x14ac:dyDescent="0.3">
      <c r="A36" s="20"/>
      <c r="B36" s="21"/>
      <c r="C36" s="22"/>
      <c r="D36" s="22"/>
      <c r="E36" s="24"/>
      <c r="F36" s="25"/>
      <c r="G36" s="25"/>
      <c r="H36" s="24"/>
      <c r="K36" s="28"/>
      <c r="L36" s="28"/>
      <c r="M36" s="28"/>
      <c r="N36" s="28"/>
      <c r="O36" s="28"/>
      <c r="P36" s="28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1:38" s="27" customFormat="1" x14ac:dyDescent="0.3">
      <c r="A37" s="20"/>
      <c r="B37" s="21"/>
      <c r="C37" s="22"/>
      <c r="D37" s="22"/>
      <c r="E37" s="24"/>
      <c r="F37" s="25"/>
      <c r="G37" s="25"/>
      <c r="H37" s="24"/>
      <c r="K37" s="28"/>
      <c r="L37" s="28"/>
      <c r="M37" s="28"/>
      <c r="N37" s="28"/>
      <c r="O37" s="28"/>
      <c r="P37" s="28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1:38" s="27" customFormat="1" x14ac:dyDescent="0.3">
      <c r="A38" s="20"/>
      <c r="B38" s="21"/>
      <c r="C38" s="22"/>
      <c r="D38" s="22"/>
      <c r="E38" s="24"/>
      <c r="F38" s="25"/>
      <c r="G38" s="25"/>
      <c r="H38" s="24"/>
      <c r="K38" s="28"/>
      <c r="L38" s="28"/>
      <c r="M38" s="28"/>
      <c r="N38" s="28"/>
      <c r="O38" s="28"/>
      <c r="P38" s="28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1:38" s="27" customFormat="1" x14ac:dyDescent="0.3">
      <c r="A39" s="20"/>
      <c r="B39" s="21"/>
      <c r="C39" s="22"/>
      <c r="D39" s="22"/>
      <c r="E39" s="24"/>
      <c r="F39" s="25"/>
      <c r="G39" s="25"/>
      <c r="H39" s="24"/>
      <c r="K39" s="28"/>
      <c r="L39" s="28"/>
      <c r="M39" s="28"/>
      <c r="N39" s="28"/>
      <c r="O39" s="28"/>
      <c r="P39" s="28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1:38" s="27" customFormat="1" x14ac:dyDescent="0.3">
      <c r="A40" s="20"/>
      <c r="B40" s="21"/>
      <c r="C40" s="22"/>
      <c r="D40" s="22"/>
      <c r="E40" s="24"/>
      <c r="F40" s="25"/>
      <c r="G40" s="25"/>
      <c r="H40" s="24"/>
      <c r="K40" s="28"/>
      <c r="L40" s="28"/>
      <c r="M40" s="28"/>
      <c r="N40" s="28"/>
      <c r="O40" s="28"/>
      <c r="P40" s="28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1:38" s="27" customFormat="1" x14ac:dyDescent="0.3">
      <c r="A41" s="20"/>
      <c r="B41" s="21"/>
      <c r="C41" s="22"/>
      <c r="D41" s="22"/>
      <c r="E41" s="24" t="s">
        <v>926</v>
      </c>
      <c r="F41" s="25" t="s">
        <v>931</v>
      </c>
      <c r="G41" s="25" t="e">
        <f ca="1">[1]!s2m(E41)</f>
        <v>#NAME?</v>
      </c>
      <c r="H41" s="24" t="e">
        <f ca="1">[1]!s2m(F41)</f>
        <v>#NAME?</v>
      </c>
      <c r="I41" s="45" t="e">
        <f t="shared" ref="I41:I57" ca="1" si="9">H41-TODAY()</f>
        <v>#NAME?</v>
      </c>
      <c r="K41" s="28"/>
      <c r="L41" s="28"/>
      <c r="M41" s="28"/>
      <c r="N41" s="28"/>
      <c r="O41" s="28"/>
      <c r="P41" s="28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1:38" s="27" customFormat="1" x14ac:dyDescent="0.3">
      <c r="A42" s="20"/>
      <c r="B42" s="21"/>
      <c r="C42" s="22"/>
      <c r="D42" s="22"/>
      <c r="E42" s="24" t="s">
        <v>926</v>
      </c>
      <c r="F42" s="24" t="s">
        <v>931</v>
      </c>
      <c r="G42" s="25" t="e">
        <f ca="1">[1]!s2m(E42)</f>
        <v>#NAME?</v>
      </c>
      <c r="H42" s="24" t="e">
        <f ca="1">[1]!s2m(F42)</f>
        <v>#NAME?</v>
      </c>
      <c r="I42" s="45" t="e">
        <f t="shared" ca="1" si="9"/>
        <v>#NAME?</v>
      </c>
      <c r="K42" s="28"/>
      <c r="L42" s="28"/>
      <c r="M42" s="28"/>
      <c r="N42" s="28"/>
      <c r="O42" s="28"/>
      <c r="P42" s="28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1:38" s="27" customFormat="1" x14ac:dyDescent="0.3">
      <c r="A43" s="20"/>
      <c r="B43" s="21"/>
      <c r="C43" s="22"/>
      <c r="D43" s="22"/>
      <c r="E43" s="24" t="s">
        <v>927</v>
      </c>
      <c r="F43" s="24" t="s">
        <v>932</v>
      </c>
      <c r="G43" s="25" t="e">
        <f ca="1">[1]!s2m(E43)</f>
        <v>#NAME?</v>
      </c>
      <c r="H43" s="24" t="e">
        <f ca="1">[1]!s2m(F43)</f>
        <v>#NAME?</v>
      </c>
      <c r="I43" s="45" t="e">
        <f t="shared" ca="1" si="9"/>
        <v>#NAME?</v>
      </c>
      <c r="K43" s="28"/>
      <c r="L43" s="28"/>
      <c r="M43" s="28"/>
      <c r="N43" s="28"/>
      <c r="O43" s="28"/>
      <c r="P43" s="28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1:38" s="27" customFormat="1" x14ac:dyDescent="0.3">
      <c r="A44" s="20"/>
      <c r="B44" s="21"/>
      <c r="C44" s="22"/>
      <c r="D44" s="22"/>
      <c r="E44" s="24" t="s">
        <v>925</v>
      </c>
      <c r="F44" s="24" t="s">
        <v>933</v>
      </c>
      <c r="G44" s="25" t="e">
        <f ca="1">[1]!s2m(E44)</f>
        <v>#NAME?</v>
      </c>
      <c r="H44" s="24" t="e">
        <f ca="1">[1]!s2m(F44)</f>
        <v>#NAME?</v>
      </c>
      <c r="I44" s="45" t="e">
        <f t="shared" ca="1" si="9"/>
        <v>#NAME?</v>
      </c>
      <c r="K44" s="28"/>
      <c r="L44" s="28"/>
      <c r="M44" s="28"/>
      <c r="N44" s="28"/>
      <c r="O44" s="28"/>
      <c r="P44" s="28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1:38" s="27" customFormat="1" x14ac:dyDescent="0.3">
      <c r="A45" s="20"/>
      <c r="B45" s="21"/>
      <c r="C45" s="22"/>
      <c r="D45" s="22"/>
      <c r="E45" s="24" t="s">
        <v>928</v>
      </c>
      <c r="F45" s="24" t="s">
        <v>934</v>
      </c>
      <c r="G45" s="25" t="e">
        <f ca="1">[1]!s2m(E45)</f>
        <v>#NAME?</v>
      </c>
      <c r="H45" s="24" t="e">
        <f ca="1">[1]!s2m(F45)</f>
        <v>#NAME?</v>
      </c>
      <c r="I45" s="45" t="e">
        <f t="shared" ca="1" si="9"/>
        <v>#NAME?</v>
      </c>
      <c r="K45" s="28"/>
      <c r="L45" s="28"/>
      <c r="M45" s="28"/>
      <c r="N45" s="28"/>
      <c r="O45" s="28"/>
      <c r="P45" s="28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1:38" s="27" customFormat="1" x14ac:dyDescent="0.3">
      <c r="A46" s="20"/>
      <c r="B46" s="21"/>
      <c r="C46" s="22"/>
      <c r="D46" s="22"/>
      <c r="E46" s="24" t="s">
        <v>929</v>
      </c>
      <c r="F46" s="24" t="s">
        <v>935</v>
      </c>
      <c r="G46" s="25" t="e">
        <f ca="1">[1]!s2m(E46)</f>
        <v>#NAME?</v>
      </c>
      <c r="H46" s="24" t="e">
        <f ca="1">[1]!s2m(F46)</f>
        <v>#NAME?</v>
      </c>
      <c r="I46" s="45" t="e">
        <f t="shared" ca="1" si="9"/>
        <v>#NAME?</v>
      </c>
      <c r="K46" s="28"/>
      <c r="L46" s="28"/>
      <c r="M46" s="28"/>
      <c r="N46" s="28"/>
      <c r="O46" s="28"/>
      <c r="P46" s="28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1:38" s="27" customFormat="1" x14ac:dyDescent="0.3">
      <c r="A47" s="20"/>
      <c r="B47" s="21"/>
      <c r="C47" s="22"/>
      <c r="D47" s="22"/>
      <c r="E47" s="24" t="s">
        <v>930</v>
      </c>
      <c r="F47" s="24" t="s">
        <v>936</v>
      </c>
      <c r="G47" s="25" t="e">
        <f ca="1">[1]!s2m(E47)</f>
        <v>#NAME?</v>
      </c>
      <c r="H47" s="24" t="e">
        <f ca="1">[1]!s2m(F47)</f>
        <v>#NAME?</v>
      </c>
      <c r="I47" s="45" t="e">
        <f t="shared" ca="1" si="9"/>
        <v>#NAME?</v>
      </c>
      <c r="K47" s="28"/>
      <c r="L47" s="28"/>
      <c r="M47" s="28"/>
      <c r="N47" s="28"/>
      <c r="O47" s="28"/>
      <c r="P47" s="28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1:38" s="27" customFormat="1" x14ac:dyDescent="0.3">
      <c r="A48" s="20"/>
      <c r="B48" s="21"/>
      <c r="C48" s="22"/>
      <c r="D48" s="22"/>
      <c r="E48" s="24" t="s">
        <v>937</v>
      </c>
      <c r="F48" s="24" t="s">
        <v>944</v>
      </c>
      <c r="G48" s="25" t="e">
        <f ca="1">[1]!s2m(E48)</f>
        <v>#NAME?</v>
      </c>
      <c r="H48" s="24" t="e">
        <f ca="1">[1]!s2m(F48)</f>
        <v>#NAME?</v>
      </c>
      <c r="I48" s="45" t="e">
        <f t="shared" ca="1" si="9"/>
        <v>#NAME?</v>
      </c>
      <c r="K48" s="28"/>
      <c r="L48" s="28"/>
      <c r="M48" s="28"/>
      <c r="N48" s="28"/>
      <c r="O48" s="28"/>
      <c r="P48" s="28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1:38" s="27" customFormat="1" x14ac:dyDescent="0.3">
      <c r="A49" s="20"/>
      <c r="B49" s="21"/>
      <c r="C49" s="22"/>
      <c r="D49" s="22"/>
      <c r="E49" s="24" t="s">
        <v>938</v>
      </c>
      <c r="F49" s="24" t="s">
        <v>945</v>
      </c>
      <c r="G49" s="25" t="e">
        <f ca="1">[1]!s2m(E49)</f>
        <v>#NAME?</v>
      </c>
      <c r="H49" s="24" t="e">
        <f ca="1">[1]!s2m(F49)</f>
        <v>#NAME?</v>
      </c>
      <c r="I49" s="45" t="e">
        <f t="shared" ca="1" si="9"/>
        <v>#NAME?</v>
      </c>
      <c r="K49" s="28"/>
      <c r="L49" s="28"/>
      <c r="M49" s="28"/>
      <c r="N49" s="28"/>
      <c r="O49" s="28"/>
      <c r="P49" s="28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1:38" s="27" customFormat="1" x14ac:dyDescent="0.3">
      <c r="A50" s="20"/>
      <c r="B50" s="21"/>
      <c r="C50" s="22"/>
      <c r="D50" s="22"/>
      <c r="E50" s="24" t="s">
        <v>681</v>
      </c>
      <c r="F50" s="24" t="s">
        <v>946</v>
      </c>
      <c r="G50" s="25" t="e">
        <f ca="1">[1]!s2m(E50)</f>
        <v>#NAME?</v>
      </c>
      <c r="H50" s="24" t="e">
        <f ca="1">[1]!s2m(F50)</f>
        <v>#NAME?</v>
      </c>
      <c r="I50" s="45" t="e">
        <f t="shared" ca="1" si="9"/>
        <v>#NAME?</v>
      </c>
      <c r="K50" s="28"/>
      <c r="L50" s="28"/>
      <c r="M50" s="28"/>
      <c r="N50" s="28"/>
      <c r="O50" s="28"/>
      <c r="P50" s="28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1:38" s="27" customFormat="1" x14ac:dyDescent="0.3">
      <c r="A51" s="20"/>
      <c r="B51" s="21"/>
      <c r="C51" s="22"/>
      <c r="D51" s="22"/>
      <c r="E51" s="24" t="s">
        <v>939</v>
      </c>
      <c r="F51" s="24" t="s">
        <v>947</v>
      </c>
      <c r="G51" s="25" t="e">
        <f ca="1">[1]!s2m(E51)</f>
        <v>#NAME?</v>
      </c>
      <c r="H51" s="24" t="e">
        <f ca="1">[1]!s2m(F51)</f>
        <v>#NAME?</v>
      </c>
      <c r="I51" s="45" t="e">
        <f t="shared" ca="1" si="9"/>
        <v>#NAME?</v>
      </c>
      <c r="K51" s="28"/>
      <c r="L51" s="28"/>
      <c r="M51" s="28"/>
      <c r="N51" s="28"/>
      <c r="O51" s="28"/>
      <c r="P51" s="28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1:38" s="27" customFormat="1" x14ac:dyDescent="0.3">
      <c r="A52" s="20"/>
      <c r="B52" s="21"/>
      <c r="C52" s="22"/>
      <c r="D52" s="22"/>
      <c r="E52" s="24" t="s">
        <v>940</v>
      </c>
      <c r="F52" s="24" t="s">
        <v>948</v>
      </c>
      <c r="G52" s="25" t="e">
        <f ca="1">[1]!s2m(E52)</f>
        <v>#NAME?</v>
      </c>
      <c r="H52" s="24" t="e">
        <f ca="1">[1]!s2m(F52)</f>
        <v>#NAME?</v>
      </c>
      <c r="I52" s="45" t="e">
        <f t="shared" ca="1" si="9"/>
        <v>#NAME?</v>
      </c>
      <c r="K52" s="28"/>
      <c r="L52" s="28"/>
      <c r="M52" s="28"/>
      <c r="N52" s="28"/>
      <c r="O52" s="28"/>
      <c r="P52" s="28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1:38" s="27" customFormat="1" x14ac:dyDescent="0.3">
      <c r="A53" s="20"/>
      <c r="B53" s="21"/>
      <c r="C53" s="22"/>
      <c r="D53" s="22"/>
      <c r="E53" s="24" t="s">
        <v>941</v>
      </c>
      <c r="F53" s="24" t="s">
        <v>949</v>
      </c>
      <c r="G53" s="25" t="e">
        <f ca="1">[1]!s2m(E53)</f>
        <v>#NAME?</v>
      </c>
      <c r="H53" s="24" t="e">
        <f ca="1">[1]!s2m(F53)</f>
        <v>#NAME?</v>
      </c>
      <c r="I53" s="45" t="e">
        <f t="shared" ca="1" si="9"/>
        <v>#NAME?</v>
      </c>
      <c r="K53" s="28"/>
      <c r="L53" s="28"/>
      <c r="M53" s="28"/>
      <c r="N53" s="28"/>
      <c r="O53" s="28"/>
      <c r="P53" s="28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1:38" s="27" customFormat="1" x14ac:dyDescent="0.3">
      <c r="A54" s="20"/>
      <c r="B54" s="21"/>
      <c r="C54" s="22"/>
      <c r="D54" s="22"/>
      <c r="E54" s="24" t="s">
        <v>942</v>
      </c>
      <c r="F54" s="24" t="s">
        <v>950</v>
      </c>
      <c r="G54" s="25" t="e">
        <f ca="1">[1]!s2m(E54)</f>
        <v>#NAME?</v>
      </c>
      <c r="H54" s="24" t="e">
        <f ca="1">[1]!s2m(F54)</f>
        <v>#NAME?</v>
      </c>
      <c r="I54" s="45" t="e">
        <f t="shared" ca="1" si="9"/>
        <v>#NAME?</v>
      </c>
      <c r="K54" s="28"/>
      <c r="L54" s="28"/>
      <c r="M54" s="28"/>
      <c r="N54" s="28"/>
      <c r="O54" s="28"/>
      <c r="P54" s="28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1:38" s="27" customFormat="1" x14ac:dyDescent="0.3">
      <c r="A55" s="20"/>
      <c r="B55" s="21"/>
      <c r="C55" s="22"/>
      <c r="D55" s="22"/>
      <c r="E55" s="24" t="s">
        <v>943</v>
      </c>
      <c r="F55" s="24" t="s">
        <v>951</v>
      </c>
      <c r="G55" s="25" t="e">
        <f ca="1">[1]!s2m(E55)</f>
        <v>#NAME?</v>
      </c>
      <c r="H55" s="24" t="e">
        <f ca="1">[1]!s2m(F55)</f>
        <v>#NAME?</v>
      </c>
      <c r="I55" s="45" t="e">
        <f t="shared" ca="1" si="9"/>
        <v>#NAME?</v>
      </c>
      <c r="K55" s="28"/>
      <c r="L55" s="28"/>
      <c r="M55" s="28"/>
      <c r="N55" s="28"/>
      <c r="O55" s="28"/>
      <c r="P55" s="28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1:38" s="27" customFormat="1" x14ac:dyDescent="0.3">
      <c r="A56" s="20"/>
      <c r="B56" s="21"/>
      <c r="C56" s="22"/>
      <c r="D56" s="22"/>
      <c r="E56" s="24" t="s">
        <v>939</v>
      </c>
      <c r="F56" s="24" t="s">
        <v>947</v>
      </c>
      <c r="G56" s="25" t="e">
        <f ca="1">[1]!s2m(E56)</f>
        <v>#NAME?</v>
      </c>
      <c r="H56" s="24" t="e">
        <f ca="1">[1]!s2m(F56)</f>
        <v>#NAME?</v>
      </c>
      <c r="I56" s="45" t="e">
        <f t="shared" ca="1" si="9"/>
        <v>#NAME?</v>
      </c>
      <c r="K56" s="28"/>
      <c r="L56" s="28"/>
      <c r="M56" s="28"/>
      <c r="N56" s="28"/>
      <c r="O56" s="28"/>
      <c r="P56" s="28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1:38" s="27" customFormat="1" x14ac:dyDescent="0.3">
      <c r="A57" s="20"/>
      <c r="B57" s="21"/>
      <c r="C57" s="22"/>
      <c r="D57" s="22"/>
      <c r="E57" s="24" t="s">
        <v>943</v>
      </c>
      <c r="F57" s="24" t="s">
        <v>951</v>
      </c>
      <c r="G57" s="25" t="e">
        <f ca="1">[1]!s2m(E57)</f>
        <v>#NAME?</v>
      </c>
      <c r="H57" s="24" t="e">
        <f ca="1">[1]!s2m(F57)</f>
        <v>#NAME?</v>
      </c>
      <c r="I57" s="45" t="e">
        <f t="shared" ca="1" si="9"/>
        <v>#NAME?</v>
      </c>
      <c r="K57" s="28"/>
      <c r="L57" s="28"/>
      <c r="M57" s="28"/>
      <c r="N57" s="28"/>
      <c r="O57" s="28"/>
      <c r="P57" s="28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</sheetData>
  <mergeCells count="49">
    <mergeCell ref="W5:W6"/>
    <mergeCell ref="X5:X6"/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  <mergeCell ref="B8:B12"/>
    <mergeCell ref="A8:A12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O9:O10"/>
    <mergeCell ref="P9:P10"/>
    <mergeCell ref="E8:F9"/>
    <mergeCell ref="D8:D12"/>
    <mergeCell ref="C8:C12"/>
    <mergeCell ref="Q11:Q12"/>
    <mergeCell ref="R11:R12"/>
    <mergeCell ref="G8:H9"/>
    <mergeCell ref="H10:H12"/>
    <mergeCell ref="E10:E12"/>
    <mergeCell ref="F10:F12"/>
    <mergeCell ref="G10:G12"/>
    <mergeCell ref="I8:P8"/>
    <mergeCell ref="Q8:Q10"/>
    <mergeCell ref="R8:R10"/>
    <mergeCell ref="I9:I10"/>
    <mergeCell ref="J9:J10"/>
    <mergeCell ref="K9:K10"/>
    <mergeCell ref="L9:L10"/>
    <mergeCell ref="M9:M10"/>
    <mergeCell ref="N9:N10"/>
  </mergeCells>
  <phoneticPr fontId="24" type="noConversion"/>
  <conditionalFormatting sqref="B13:B22">
    <cfRule type="cellIs" dxfId="51" priority="11" operator="equal">
      <formula>"Delete"</formula>
    </cfRule>
    <cfRule type="cellIs" dxfId="50" priority="16" operator="equal">
      <formula>"On time"</formula>
    </cfRule>
    <cfRule type="cellIs" dxfId="49" priority="17" operator="equal">
      <formula>"Delay"</formula>
    </cfRule>
    <cfRule type="cellIs" dxfId="48" priority="19" operator="equal">
      <formula>"Inprogress"</formula>
    </cfRule>
    <cfRule type="cellIs" dxfId="47" priority="20" operator="equal">
      <formula>"Ahead of schedule"</formula>
    </cfRule>
  </conditionalFormatting>
  <conditionalFormatting sqref="B6:D6">
    <cfRule type="cellIs" dxfId="46" priority="18" operator="equal">
      <formula>"Delay"</formula>
    </cfRule>
  </conditionalFormatting>
  <conditionalFormatting sqref="I13:R22 I23:N23">
    <cfRule type="cellIs" dxfId="45" priority="10" operator="equal">
      <formula>1</formula>
    </cfRule>
  </conditionalFormatting>
  <conditionalFormatting sqref="Q11:R11">
    <cfRule type="dataBar" priority="12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{9B9ACF9E-71FB-4361-9B0C-2CFDC85318B6}</x14:id>
        </ext>
      </extLst>
    </cfRule>
  </conditionalFormatting>
  <conditionalFormatting sqref="Q13:R22">
    <cfRule type="cellIs" dxfId="44" priority="13" operator="between">
      <formula>0.01</formula>
      <formula>0.99</formula>
    </cfRule>
    <cfRule type="cellIs" dxfId="43" priority="15" operator="equal">
      <formula>0</formula>
    </cfRule>
  </conditionalFormatting>
  <conditionalFormatting sqref="B23">
    <cfRule type="cellIs" dxfId="7" priority="2" operator="equal">
      <formula>"Delete"</formula>
    </cfRule>
    <cfRule type="cellIs" dxfId="6" priority="5" operator="equal">
      <formula>"On time"</formula>
    </cfRule>
    <cfRule type="cellIs" dxfId="5" priority="6" operator="equal">
      <formula>"Delay"</formula>
    </cfRule>
    <cfRule type="cellIs" dxfId="4" priority="7" operator="equal">
      <formula>"Inprogress"</formula>
    </cfRule>
    <cfRule type="cellIs" dxfId="3" priority="8" operator="equal">
      <formula>"Ahead of schedule"</formula>
    </cfRule>
  </conditionalFormatting>
  <conditionalFormatting sqref="O23:R23">
    <cfRule type="cellIs" dxfId="2" priority="1" operator="equal">
      <formula>1</formula>
    </cfRule>
  </conditionalFormatting>
  <conditionalFormatting sqref="Q23:R23">
    <cfRule type="cellIs" dxfId="1" priority="3" operator="between">
      <formula>0.01</formula>
      <formula>0.99</formula>
    </cfRule>
    <cfRule type="cellIs" dxfId="0" priority="4" operator="equal">
      <formula>0</formula>
    </cfRule>
  </conditionalFormatting>
  <pageMargins left="0.1" right="0" top="0.1" bottom="0" header="0" footer="0"/>
  <pageSetup paperSize="9" scale="39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9ACF9E-71FB-4361-9B0C-2CFDC85318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W95"/>
  <sheetViews>
    <sheetView topLeftCell="I1" workbookViewId="0">
      <selection activeCell="J67" sqref="J67"/>
    </sheetView>
  </sheetViews>
  <sheetFormatPr defaultColWidth="9.109375" defaultRowHeight="14.4" x14ac:dyDescent="0.3"/>
  <cols>
    <col min="1" max="1" width="11.5546875" style="4" bestFit="1" customWidth="1"/>
    <col min="2" max="2" width="13.33203125" style="4" bestFit="1" customWidth="1"/>
    <col min="3" max="3" width="12.109375" style="4" bestFit="1" customWidth="1"/>
    <col min="4" max="4" width="96.109375" style="4" bestFit="1" customWidth="1"/>
    <col min="5" max="5" width="15.109375" style="4" bestFit="1" customWidth="1"/>
    <col min="6" max="6" width="18.109375" style="4" bestFit="1" customWidth="1"/>
    <col min="7" max="7" width="17" style="4" bestFit="1" customWidth="1"/>
    <col min="8" max="8" width="24.88671875" style="4" bestFit="1" customWidth="1"/>
    <col min="9" max="9" width="23.88671875" style="4" bestFit="1" customWidth="1"/>
    <col min="10" max="10" width="14.109375" style="4" bestFit="1" customWidth="1"/>
    <col min="11" max="11" width="13.109375" style="4" bestFit="1" customWidth="1"/>
    <col min="12" max="12" width="20.88671875" style="4" bestFit="1" customWidth="1"/>
    <col min="13" max="13" width="19.88671875" style="4" bestFit="1" customWidth="1"/>
    <col min="14" max="14" width="10.5546875" style="4" bestFit="1" customWidth="1"/>
    <col min="15" max="15" width="18.109375" style="4" bestFit="1" customWidth="1"/>
    <col min="16" max="16" width="11.5546875" style="4" bestFit="1" customWidth="1"/>
    <col min="17" max="17" width="16.44140625" style="4" bestFit="1" customWidth="1"/>
    <col min="18" max="18" width="16.109375" style="4" bestFit="1" customWidth="1"/>
    <col min="19" max="19" width="12.44140625" style="4" bestFit="1" customWidth="1"/>
    <col min="20" max="20" width="15" style="4" bestFit="1" customWidth="1"/>
    <col min="21" max="21" width="13.44140625" style="4" bestFit="1" customWidth="1"/>
    <col min="22" max="22" width="17.6640625" style="4" bestFit="1" customWidth="1"/>
    <col min="23" max="23" width="14" style="4" bestFit="1" customWidth="1"/>
    <col min="24" max="16384" width="9.109375" style="4"/>
  </cols>
  <sheetData>
    <row r="1" spans="1:23" x14ac:dyDescent="0.3">
      <c r="A1" s="97" t="s">
        <v>1129</v>
      </c>
      <c r="B1" s="98" t="s">
        <v>957</v>
      </c>
      <c r="C1" s="98" t="s">
        <v>958</v>
      </c>
      <c r="D1" s="98" t="s">
        <v>959</v>
      </c>
      <c r="E1" s="98" t="s">
        <v>960</v>
      </c>
      <c r="F1" s="98" t="s">
        <v>1104</v>
      </c>
      <c r="G1" s="98" t="s">
        <v>1105</v>
      </c>
      <c r="H1" s="98" t="s">
        <v>1106</v>
      </c>
      <c r="I1" s="98" t="s">
        <v>1107</v>
      </c>
      <c r="J1" s="98" t="s">
        <v>1108</v>
      </c>
      <c r="K1" s="98" t="s">
        <v>1109</v>
      </c>
      <c r="L1" s="98" t="s">
        <v>1110</v>
      </c>
      <c r="M1" s="98" t="s">
        <v>1111</v>
      </c>
      <c r="N1" s="98" t="s">
        <v>964</v>
      </c>
      <c r="O1" s="98" t="s">
        <v>982</v>
      </c>
      <c r="P1" s="98" t="s">
        <v>965</v>
      </c>
      <c r="Q1" s="98" t="s">
        <v>966</v>
      </c>
      <c r="R1" s="98" t="s">
        <v>967</v>
      </c>
      <c r="S1" s="98" t="s">
        <v>972</v>
      </c>
      <c r="T1" s="98" t="s">
        <v>968</v>
      </c>
      <c r="U1" s="98" t="s">
        <v>969</v>
      </c>
      <c r="V1" s="98" t="s">
        <v>970</v>
      </c>
      <c r="W1" s="99" t="s">
        <v>971</v>
      </c>
    </row>
    <row r="2" spans="1:23" x14ac:dyDescent="0.3">
      <c r="A2" s="96" t="s">
        <v>1130</v>
      </c>
      <c r="B2" s="94">
        <v>7852</v>
      </c>
      <c r="C2" s="94" t="s">
        <v>150</v>
      </c>
      <c r="D2" s="94" t="s">
        <v>1031</v>
      </c>
      <c r="E2" s="94" t="s">
        <v>964</v>
      </c>
      <c r="F2" s="94" t="s">
        <v>1016</v>
      </c>
      <c r="G2" s="94" t="s">
        <v>1001</v>
      </c>
      <c r="H2" s="103">
        <v>45916</v>
      </c>
      <c r="I2" s="103">
        <v>45937</v>
      </c>
      <c r="J2" s="94" t="s">
        <v>1016</v>
      </c>
      <c r="K2" s="94" t="s">
        <v>1085</v>
      </c>
      <c r="L2" s="103">
        <v>45916</v>
      </c>
      <c r="M2" s="103">
        <v>45926</v>
      </c>
      <c r="N2" s="114">
        <v>1</v>
      </c>
      <c r="O2" s="114">
        <v>1</v>
      </c>
      <c r="P2" s="114">
        <v>1</v>
      </c>
      <c r="Q2" s="114">
        <v>1</v>
      </c>
      <c r="R2" s="114">
        <v>1</v>
      </c>
      <c r="S2" s="114">
        <v>1</v>
      </c>
      <c r="T2" s="114">
        <v>1</v>
      </c>
      <c r="U2" s="114">
        <v>1</v>
      </c>
      <c r="V2" s="114">
        <v>1</v>
      </c>
      <c r="W2" s="115">
        <v>1</v>
      </c>
    </row>
    <row r="3" spans="1:23" x14ac:dyDescent="0.3">
      <c r="A3" s="96" t="s">
        <v>1130</v>
      </c>
      <c r="B3" s="94">
        <v>7886</v>
      </c>
      <c r="C3" s="94" t="s">
        <v>150</v>
      </c>
      <c r="D3" s="94" t="s">
        <v>1047</v>
      </c>
      <c r="E3" s="94" t="s">
        <v>964</v>
      </c>
      <c r="F3" s="94" t="s">
        <v>953</v>
      </c>
      <c r="G3" s="94" t="s">
        <v>1001</v>
      </c>
      <c r="H3" s="103">
        <v>45885</v>
      </c>
      <c r="I3" s="103">
        <v>45937</v>
      </c>
      <c r="J3" s="94" t="s">
        <v>953</v>
      </c>
      <c r="K3" s="94" t="s">
        <v>1112</v>
      </c>
      <c r="L3" s="103">
        <v>45885</v>
      </c>
      <c r="M3" s="103">
        <v>45951</v>
      </c>
      <c r="N3" s="114">
        <v>1</v>
      </c>
      <c r="O3" s="114">
        <v>1</v>
      </c>
      <c r="P3" s="114">
        <v>1</v>
      </c>
      <c r="Q3" s="114">
        <v>1</v>
      </c>
      <c r="R3" s="114">
        <v>1</v>
      </c>
      <c r="S3" s="114">
        <v>1</v>
      </c>
      <c r="T3" s="114">
        <v>1</v>
      </c>
      <c r="U3" s="114">
        <v>1</v>
      </c>
      <c r="V3" s="114">
        <v>1</v>
      </c>
      <c r="W3" s="115">
        <v>1</v>
      </c>
    </row>
    <row r="4" spans="1:23" x14ac:dyDescent="0.3">
      <c r="A4" s="96" t="s">
        <v>1130</v>
      </c>
      <c r="B4" s="94">
        <v>7848</v>
      </c>
      <c r="C4" s="94" t="s">
        <v>151</v>
      </c>
      <c r="D4" s="94" t="s">
        <v>1033</v>
      </c>
      <c r="E4" s="94" t="s">
        <v>964</v>
      </c>
      <c r="F4" s="94" t="s">
        <v>1077</v>
      </c>
      <c r="G4" s="94" t="s">
        <v>1096</v>
      </c>
      <c r="H4" s="103">
        <v>45927</v>
      </c>
      <c r="I4" s="103">
        <v>45947</v>
      </c>
      <c r="J4" s="94" t="s">
        <v>1077</v>
      </c>
      <c r="K4" s="94" t="s">
        <v>1189</v>
      </c>
      <c r="L4" s="103">
        <v>45927</v>
      </c>
      <c r="M4" s="103">
        <v>45958</v>
      </c>
      <c r="N4" s="114">
        <v>1</v>
      </c>
      <c r="O4" s="114">
        <v>1</v>
      </c>
      <c r="P4" s="114">
        <v>1</v>
      </c>
      <c r="Q4" s="114">
        <v>1</v>
      </c>
      <c r="R4" s="114">
        <v>1</v>
      </c>
      <c r="S4" s="114">
        <v>1</v>
      </c>
      <c r="T4" s="114">
        <v>1</v>
      </c>
      <c r="U4" s="114">
        <v>1</v>
      </c>
      <c r="V4" s="114">
        <v>1</v>
      </c>
      <c r="W4" s="115">
        <v>1</v>
      </c>
    </row>
    <row r="5" spans="1:23" x14ac:dyDescent="0.3">
      <c r="A5" s="96" t="s">
        <v>1130</v>
      </c>
      <c r="B5" s="94">
        <v>7853</v>
      </c>
      <c r="C5" s="94" t="s">
        <v>150</v>
      </c>
      <c r="D5" s="94" t="s">
        <v>1030</v>
      </c>
      <c r="E5" s="94" t="s">
        <v>964</v>
      </c>
      <c r="F5" s="94" t="s">
        <v>1083</v>
      </c>
      <c r="G5" s="94" t="s">
        <v>1001</v>
      </c>
      <c r="H5" s="103">
        <v>45909</v>
      </c>
      <c r="I5" s="103">
        <v>45937</v>
      </c>
      <c r="J5" s="94" t="s">
        <v>1083</v>
      </c>
      <c r="K5" s="94" t="s">
        <v>1112</v>
      </c>
      <c r="L5" s="103">
        <v>45909</v>
      </c>
      <c r="M5" s="103">
        <v>45951</v>
      </c>
      <c r="N5" s="114">
        <v>1</v>
      </c>
      <c r="O5" s="114">
        <v>1</v>
      </c>
      <c r="P5" s="114">
        <v>1</v>
      </c>
      <c r="Q5" s="114">
        <v>1</v>
      </c>
      <c r="R5" s="114">
        <v>1</v>
      </c>
      <c r="S5" s="114">
        <v>1</v>
      </c>
      <c r="T5" s="114">
        <v>1</v>
      </c>
      <c r="U5" s="114">
        <v>1</v>
      </c>
      <c r="V5" s="114">
        <v>1</v>
      </c>
      <c r="W5" s="115">
        <v>1</v>
      </c>
    </row>
    <row r="6" spans="1:23" x14ac:dyDescent="0.3">
      <c r="A6" s="96" t="s">
        <v>1130</v>
      </c>
      <c r="B6" s="94">
        <v>7885</v>
      </c>
      <c r="C6" s="94" t="s">
        <v>150</v>
      </c>
      <c r="D6" s="94" t="s">
        <v>1048</v>
      </c>
      <c r="E6" s="94" t="s">
        <v>964</v>
      </c>
      <c r="F6" s="94" t="s">
        <v>1018</v>
      </c>
      <c r="G6" s="94" t="s">
        <v>1001</v>
      </c>
      <c r="H6" s="103">
        <v>45921</v>
      </c>
      <c r="I6" s="103">
        <v>45937</v>
      </c>
      <c r="J6" s="94" t="s">
        <v>1101</v>
      </c>
      <c r="K6" s="94" t="s">
        <v>1112</v>
      </c>
      <c r="L6" s="103">
        <v>45929</v>
      </c>
      <c r="M6" s="103">
        <v>45951</v>
      </c>
      <c r="N6" s="114">
        <v>1</v>
      </c>
      <c r="O6" s="114">
        <v>1</v>
      </c>
      <c r="P6" s="114">
        <v>1</v>
      </c>
      <c r="Q6" s="114">
        <v>1</v>
      </c>
      <c r="R6" s="114">
        <v>1</v>
      </c>
      <c r="S6" s="114">
        <v>1</v>
      </c>
      <c r="T6" s="114">
        <v>1</v>
      </c>
      <c r="U6" s="114">
        <v>1</v>
      </c>
      <c r="V6" s="114">
        <v>1</v>
      </c>
      <c r="W6" s="115">
        <v>1</v>
      </c>
    </row>
    <row r="7" spans="1:23" x14ac:dyDescent="0.3">
      <c r="A7" s="96" t="s">
        <v>1130</v>
      </c>
      <c r="B7" s="94">
        <v>7851</v>
      </c>
      <c r="C7" s="94" t="s">
        <v>151</v>
      </c>
      <c r="D7" s="94" t="s">
        <v>1032</v>
      </c>
      <c r="E7" s="94" t="s">
        <v>993</v>
      </c>
      <c r="F7" s="94"/>
      <c r="G7" s="94" t="s">
        <v>1081</v>
      </c>
      <c r="H7" s="103"/>
      <c r="I7" s="103">
        <v>45934</v>
      </c>
      <c r="J7" s="94"/>
      <c r="K7" s="94" t="s">
        <v>1114</v>
      </c>
      <c r="L7" s="103"/>
      <c r="M7" s="103">
        <v>45955</v>
      </c>
      <c r="N7" s="114"/>
      <c r="O7" s="114">
        <v>1</v>
      </c>
      <c r="P7" s="114">
        <v>1</v>
      </c>
      <c r="Q7" s="114">
        <v>1</v>
      </c>
      <c r="R7" s="114">
        <v>1</v>
      </c>
      <c r="S7" s="114">
        <v>1</v>
      </c>
      <c r="T7" s="114">
        <v>1</v>
      </c>
      <c r="U7" s="114">
        <v>1</v>
      </c>
      <c r="V7" s="114">
        <v>1</v>
      </c>
      <c r="W7" s="115">
        <v>1</v>
      </c>
    </row>
    <row r="8" spans="1:23" x14ac:dyDescent="0.3">
      <c r="A8" s="96" t="s">
        <v>1130</v>
      </c>
      <c r="B8" s="94">
        <v>8440</v>
      </c>
      <c r="C8" s="94" t="s">
        <v>151</v>
      </c>
      <c r="D8" s="94" t="s">
        <v>1187</v>
      </c>
      <c r="E8" s="94" t="s">
        <v>993</v>
      </c>
      <c r="F8" s="94"/>
      <c r="G8" s="94" t="s">
        <v>1018</v>
      </c>
      <c r="H8" s="103"/>
      <c r="I8" s="103">
        <v>45921</v>
      </c>
      <c r="J8" s="94"/>
      <c r="K8" s="94" t="s">
        <v>1114</v>
      </c>
      <c r="L8" s="103"/>
      <c r="M8" s="103">
        <v>45955</v>
      </c>
      <c r="N8" s="114"/>
      <c r="O8" s="114">
        <v>1</v>
      </c>
      <c r="P8" s="114">
        <v>1</v>
      </c>
      <c r="Q8" s="114">
        <v>1</v>
      </c>
      <c r="R8" s="114">
        <v>1</v>
      </c>
      <c r="S8" s="114">
        <v>1</v>
      </c>
      <c r="T8" s="114">
        <v>1</v>
      </c>
      <c r="U8" s="114">
        <v>1</v>
      </c>
      <c r="V8" s="114">
        <v>1</v>
      </c>
      <c r="W8" s="115">
        <v>1</v>
      </c>
    </row>
    <row r="9" spans="1:23" x14ac:dyDescent="0.3">
      <c r="A9" s="96" t="s">
        <v>1130</v>
      </c>
      <c r="B9" s="94">
        <v>7847</v>
      </c>
      <c r="C9" s="94" t="s">
        <v>151</v>
      </c>
      <c r="D9" s="94" t="s">
        <v>1115</v>
      </c>
      <c r="E9" s="94" t="s">
        <v>964</v>
      </c>
      <c r="F9" s="94" t="s">
        <v>1113</v>
      </c>
      <c r="G9" s="94" t="s">
        <v>1114</v>
      </c>
      <c r="H9" s="103">
        <v>45941</v>
      </c>
      <c r="I9" s="103">
        <v>45955</v>
      </c>
      <c r="J9" s="94" t="s">
        <v>1113</v>
      </c>
      <c r="K9" s="94"/>
      <c r="L9" s="103">
        <v>45941</v>
      </c>
      <c r="M9" s="103"/>
      <c r="N9" s="114">
        <v>1</v>
      </c>
      <c r="O9" s="114">
        <v>1</v>
      </c>
      <c r="P9" s="114">
        <v>1</v>
      </c>
      <c r="Q9" s="114">
        <v>1</v>
      </c>
      <c r="R9" s="114">
        <v>1</v>
      </c>
      <c r="S9" s="114">
        <v>1</v>
      </c>
      <c r="T9" s="114">
        <v>0</v>
      </c>
      <c r="U9" s="114">
        <v>0</v>
      </c>
      <c r="V9" s="114">
        <v>0.625</v>
      </c>
      <c r="W9" s="115">
        <v>0.70000000000000007</v>
      </c>
    </row>
    <row r="10" spans="1:23" x14ac:dyDescent="0.3">
      <c r="A10" s="96" t="s">
        <v>1130</v>
      </c>
      <c r="B10" s="94">
        <v>7845</v>
      </c>
      <c r="C10" s="94"/>
      <c r="D10" s="94" t="s">
        <v>1042</v>
      </c>
      <c r="E10" s="94" t="s">
        <v>964</v>
      </c>
      <c r="F10" s="94"/>
      <c r="G10" s="94"/>
      <c r="H10" s="103"/>
      <c r="I10" s="103"/>
      <c r="J10" s="94"/>
      <c r="K10" s="94" t="s">
        <v>1184</v>
      </c>
      <c r="L10" s="103"/>
      <c r="M10" s="103">
        <v>45956</v>
      </c>
      <c r="N10" s="114">
        <v>1</v>
      </c>
      <c r="O10" s="114">
        <v>1</v>
      </c>
      <c r="P10" s="114">
        <v>1</v>
      </c>
      <c r="Q10" s="114">
        <v>1</v>
      </c>
      <c r="R10" s="114">
        <v>1</v>
      </c>
      <c r="S10" s="114">
        <v>1</v>
      </c>
      <c r="T10" s="114">
        <v>1</v>
      </c>
      <c r="U10" s="114">
        <v>1</v>
      </c>
      <c r="V10" s="114">
        <v>1</v>
      </c>
      <c r="W10" s="115">
        <v>1</v>
      </c>
    </row>
    <row r="11" spans="1:23" x14ac:dyDescent="0.3">
      <c r="A11" s="96" t="s">
        <v>1130</v>
      </c>
      <c r="B11" s="94">
        <v>7854</v>
      </c>
      <c r="C11" s="94"/>
      <c r="D11" s="94" t="s">
        <v>1029</v>
      </c>
      <c r="E11" s="94" t="s">
        <v>964</v>
      </c>
      <c r="F11" s="94"/>
      <c r="G11" s="94"/>
      <c r="H11" s="103"/>
      <c r="I11" s="103"/>
      <c r="J11" s="94"/>
      <c r="K11" s="94" t="s">
        <v>1184</v>
      </c>
      <c r="L11" s="103"/>
      <c r="M11" s="103">
        <v>45956</v>
      </c>
      <c r="N11" s="114">
        <v>1</v>
      </c>
      <c r="O11" s="114">
        <v>1</v>
      </c>
      <c r="P11" s="114">
        <v>1</v>
      </c>
      <c r="Q11" s="114">
        <v>1</v>
      </c>
      <c r="R11" s="114">
        <v>1</v>
      </c>
      <c r="S11" s="114">
        <v>1</v>
      </c>
      <c r="T11" s="114">
        <v>1</v>
      </c>
      <c r="U11" s="114">
        <v>1</v>
      </c>
      <c r="V11" s="114">
        <v>1</v>
      </c>
      <c r="W11" s="115">
        <v>1</v>
      </c>
    </row>
    <row r="12" spans="1:23" x14ac:dyDescent="0.3">
      <c r="A12" s="96" t="s">
        <v>1130</v>
      </c>
      <c r="B12" s="94">
        <v>7866</v>
      </c>
      <c r="C12" s="94" t="s">
        <v>150</v>
      </c>
      <c r="D12" s="94" t="s">
        <v>1021</v>
      </c>
      <c r="E12" s="94" t="s">
        <v>993</v>
      </c>
      <c r="F12" s="94"/>
      <c r="G12" s="94" t="s">
        <v>1001</v>
      </c>
      <c r="H12" s="103"/>
      <c r="I12" s="103">
        <v>45937</v>
      </c>
      <c r="J12" s="94"/>
      <c r="K12" s="94" t="s">
        <v>1077</v>
      </c>
      <c r="L12" s="103"/>
      <c r="M12" s="103">
        <v>45927</v>
      </c>
      <c r="N12" s="114"/>
      <c r="O12" s="114">
        <v>1</v>
      </c>
      <c r="P12" s="114">
        <v>1</v>
      </c>
      <c r="Q12" s="114">
        <v>1</v>
      </c>
      <c r="R12" s="114">
        <v>1</v>
      </c>
      <c r="S12" s="114">
        <v>1</v>
      </c>
      <c r="T12" s="114">
        <v>1</v>
      </c>
      <c r="U12" s="114">
        <v>1</v>
      </c>
      <c r="V12" s="114">
        <v>1.0000000000000002</v>
      </c>
      <c r="W12" s="115">
        <v>1</v>
      </c>
    </row>
    <row r="13" spans="1:23" x14ac:dyDescent="0.3">
      <c r="A13" s="96" t="s">
        <v>1130</v>
      </c>
      <c r="B13" s="94">
        <v>7865</v>
      </c>
      <c r="C13" s="94" t="s">
        <v>150</v>
      </c>
      <c r="D13" s="94" t="s">
        <v>1022</v>
      </c>
      <c r="E13" s="94" t="s">
        <v>964</v>
      </c>
      <c r="F13" s="94"/>
      <c r="G13" s="94" t="s">
        <v>1095</v>
      </c>
      <c r="H13" s="103"/>
      <c r="I13" s="103">
        <v>45925</v>
      </c>
      <c r="J13" s="94"/>
      <c r="K13" s="94" t="s">
        <v>1095</v>
      </c>
      <c r="L13" s="103"/>
      <c r="M13" s="103">
        <v>45925</v>
      </c>
      <c r="N13" s="114"/>
      <c r="O13" s="114">
        <v>1</v>
      </c>
      <c r="P13" s="114">
        <v>1</v>
      </c>
      <c r="Q13" s="114">
        <v>1</v>
      </c>
      <c r="R13" s="114">
        <v>1</v>
      </c>
      <c r="S13" s="114">
        <v>1</v>
      </c>
      <c r="T13" s="114">
        <v>1</v>
      </c>
      <c r="U13" s="114">
        <v>1</v>
      </c>
      <c r="V13" s="114">
        <v>1.0000000000000002</v>
      </c>
      <c r="W13" s="115">
        <v>1</v>
      </c>
    </row>
    <row r="14" spans="1:23" x14ac:dyDescent="0.3">
      <c r="A14" s="96" t="s">
        <v>1130</v>
      </c>
      <c r="B14" s="94">
        <v>7862</v>
      </c>
      <c r="C14" s="94" t="s">
        <v>150</v>
      </c>
      <c r="D14" s="94" t="s">
        <v>1024</v>
      </c>
      <c r="E14" s="94" t="s">
        <v>964</v>
      </c>
      <c r="F14" s="94" t="s">
        <v>1000</v>
      </c>
      <c r="G14" s="94" t="s">
        <v>1001</v>
      </c>
      <c r="H14" s="103">
        <v>45894</v>
      </c>
      <c r="I14" s="103">
        <v>45937</v>
      </c>
      <c r="J14" s="94" t="s">
        <v>1000</v>
      </c>
      <c r="K14" s="94" t="s">
        <v>1085</v>
      </c>
      <c r="L14" s="103">
        <v>45894</v>
      </c>
      <c r="M14" s="103">
        <v>45926</v>
      </c>
      <c r="N14" s="114">
        <v>1</v>
      </c>
      <c r="O14" s="114">
        <v>1</v>
      </c>
      <c r="P14" s="114">
        <v>1</v>
      </c>
      <c r="Q14" s="114">
        <v>1</v>
      </c>
      <c r="R14" s="114">
        <v>1</v>
      </c>
      <c r="S14" s="114">
        <v>1</v>
      </c>
      <c r="T14" s="114">
        <v>1</v>
      </c>
      <c r="U14" s="114">
        <v>1</v>
      </c>
      <c r="V14" s="114">
        <v>1</v>
      </c>
      <c r="W14" s="115">
        <v>1</v>
      </c>
    </row>
    <row r="15" spans="1:23" x14ac:dyDescent="0.3">
      <c r="A15" s="96" t="s">
        <v>1130</v>
      </c>
      <c r="B15" s="94">
        <v>7890</v>
      </c>
      <c r="C15" s="94" t="s">
        <v>150</v>
      </c>
      <c r="D15" s="94" t="s">
        <v>1043</v>
      </c>
      <c r="E15" s="94" t="s">
        <v>964</v>
      </c>
      <c r="F15" s="94" t="s">
        <v>1076</v>
      </c>
      <c r="G15" s="94" t="s">
        <v>1000</v>
      </c>
      <c r="H15" s="103">
        <v>45850</v>
      </c>
      <c r="I15" s="103">
        <v>45894</v>
      </c>
      <c r="J15" s="94" t="s">
        <v>1076</v>
      </c>
      <c r="K15" s="94" t="s">
        <v>1000</v>
      </c>
      <c r="L15" s="103">
        <v>45850</v>
      </c>
      <c r="M15" s="103">
        <v>45894</v>
      </c>
      <c r="N15" s="114">
        <v>1</v>
      </c>
      <c r="O15" s="114">
        <v>1</v>
      </c>
      <c r="P15" s="114">
        <v>1</v>
      </c>
      <c r="Q15" s="114">
        <v>1</v>
      </c>
      <c r="R15" s="114">
        <v>1</v>
      </c>
      <c r="S15" s="114">
        <v>1</v>
      </c>
      <c r="T15" s="114">
        <v>1</v>
      </c>
      <c r="U15" s="114">
        <v>1</v>
      </c>
      <c r="V15" s="114">
        <v>1</v>
      </c>
      <c r="W15" s="115">
        <v>1</v>
      </c>
    </row>
    <row r="16" spans="1:23" x14ac:dyDescent="0.3">
      <c r="A16" s="96" t="s">
        <v>1130</v>
      </c>
      <c r="B16" s="94">
        <v>7867</v>
      </c>
      <c r="C16" s="94" t="s">
        <v>150</v>
      </c>
      <c r="D16" s="94" t="s">
        <v>1020</v>
      </c>
      <c r="E16" s="94" t="s">
        <v>964</v>
      </c>
      <c r="F16" s="94" t="s">
        <v>1066</v>
      </c>
      <c r="G16" s="94" t="s">
        <v>1089</v>
      </c>
      <c r="H16" s="103">
        <v>45913</v>
      </c>
      <c r="I16" s="103">
        <v>45942</v>
      </c>
      <c r="J16" s="94" t="s">
        <v>1066</v>
      </c>
      <c r="K16" s="94" t="s">
        <v>1112</v>
      </c>
      <c r="L16" s="103">
        <v>45913</v>
      </c>
      <c r="M16" s="103">
        <v>45951</v>
      </c>
      <c r="N16" s="114">
        <v>1</v>
      </c>
      <c r="O16" s="114">
        <v>1</v>
      </c>
      <c r="P16" s="114">
        <v>1</v>
      </c>
      <c r="Q16" s="114">
        <v>1</v>
      </c>
      <c r="R16" s="114">
        <v>1</v>
      </c>
      <c r="S16" s="114">
        <v>1</v>
      </c>
      <c r="T16" s="114">
        <v>1</v>
      </c>
      <c r="U16" s="114">
        <v>1</v>
      </c>
      <c r="V16" s="114">
        <v>1</v>
      </c>
      <c r="W16" s="115">
        <v>1</v>
      </c>
    </row>
    <row r="17" spans="1:23" x14ac:dyDescent="0.3">
      <c r="A17" s="96" t="s">
        <v>1130</v>
      </c>
      <c r="B17" s="94">
        <v>7888</v>
      </c>
      <c r="C17" s="94" t="s">
        <v>150</v>
      </c>
      <c r="D17" s="94" t="s">
        <v>1045</v>
      </c>
      <c r="E17" s="94" t="s">
        <v>964</v>
      </c>
      <c r="F17" s="94" t="s">
        <v>1066</v>
      </c>
      <c r="G17" s="94" t="s">
        <v>1001</v>
      </c>
      <c r="H17" s="103">
        <v>45913</v>
      </c>
      <c r="I17" s="103">
        <v>45937</v>
      </c>
      <c r="J17" s="94" t="s">
        <v>1066</v>
      </c>
      <c r="K17" s="94" t="s">
        <v>1112</v>
      </c>
      <c r="L17" s="103">
        <v>45913</v>
      </c>
      <c r="M17" s="103">
        <v>45951</v>
      </c>
      <c r="N17" s="114">
        <v>1</v>
      </c>
      <c r="O17" s="114">
        <v>1</v>
      </c>
      <c r="P17" s="114">
        <v>1</v>
      </c>
      <c r="Q17" s="114">
        <v>1</v>
      </c>
      <c r="R17" s="114">
        <v>1</v>
      </c>
      <c r="S17" s="114">
        <v>1</v>
      </c>
      <c r="T17" s="114">
        <v>1</v>
      </c>
      <c r="U17" s="114">
        <v>1</v>
      </c>
      <c r="V17" s="114">
        <v>1</v>
      </c>
      <c r="W17" s="115">
        <v>1</v>
      </c>
    </row>
    <row r="18" spans="1:23" x14ac:dyDescent="0.3">
      <c r="A18" s="96" t="s">
        <v>1130</v>
      </c>
      <c r="B18" s="94">
        <v>7887</v>
      </c>
      <c r="C18" s="94" t="s">
        <v>150</v>
      </c>
      <c r="D18" s="94" t="s">
        <v>1046</v>
      </c>
      <c r="E18" s="94" t="s">
        <v>993</v>
      </c>
      <c r="F18" s="94" t="s">
        <v>1078</v>
      </c>
      <c r="G18" s="94" t="s">
        <v>1066</v>
      </c>
      <c r="H18" s="103">
        <v>45901</v>
      </c>
      <c r="I18" s="103">
        <v>45913</v>
      </c>
      <c r="J18" s="94" t="s">
        <v>1078</v>
      </c>
      <c r="K18" s="94" t="s">
        <v>1066</v>
      </c>
      <c r="L18" s="103">
        <v>45901</v>
      </c>
      <c r="M18" s="103">
        <v>45913</v>
      </c>
      <c r="N18" s="114"/>
      <c r="O18" s="114">
        <v>1</v>
      </c>
      <c r="P18" s="114">
        <v>1</v>
      </c>
      <c r="Q18" s="114">
        <v>1</v>
      </c>
      <c r="R18" s="114">
        <v>1</v>
      </c>
      <c r="S18" s="114">
        <v>1</v>
      </c>
      <c r="T18" s="114">
        <v>1</v>
      </c>
      <c r="U18" s="114">
        <v>1</v>
      </c>
      <c r="V18" s="114">
        <v>1.0000000000000002</v>
      </c>
      <c r="W18" s="115">
        <v>1</v>
      </c>
    </row>
    <row r="19" spans="1:23" x14ac:dyDescent="0.3">
      <c r="A19" s="96" t="s">
        <v>1130</v>
      </c>
      <c r="B19" s="94">
        <v>7860</v>
      </c>
      <c r="C19" s="94" t="s">
        <v>151</v>
      </c>
      <c r="D19" s="94" t="s">
        <v>1025</v>
      </c>
      <c r="E19" s="94" t="s">
        <v>964</v>
      </c>
      <c r="F19" s="94" t="s">
        <v>1065</v>
      </c>
      <c r="G19" s="94" t="s">
        <v>1001</v>
      </c>
      <c r="H19" s="103">
        <v>45906</v>
      </c>
      <c r="I19" s="103">
        <v>45937</v>
      </c>
      <c r="J19" s="94" t="s">
        <v>1065</v>
      </c>
      <c r="K19" s="94" t="s">
        <v>1189</v>
      </c>
      <c r="L19" s="103">
        <v>45906</v>
      </c>
      <c r="M19" s="103">
        <v>45958</v>
      </c>
      <c r="N19" s="114">
        <v>1</v>
      </c>
      <c r="O19" s="114">
        <v>1</v>
      </c>
      <c r="P19" s="114">
        <v>1</v>
      </c>
      <c r="Q19" s="114">
        <v>1</v>
      </c>
      <c r="R19" s="114">
        <v>1</v>
      </c>
      <c r="S19" s="114">
        <v>1</v>
      </c>
      <c r="T19" s="114">
        <v>1</v>
      </c>
      <c r="U19" s="114">
        <v>1</v>
      </c>
      <c r="V19" s="114">
        <v>1</v>
      </c>
      <c r="W19" s="115">
        <v>1</v>
      </c>
    </row>
    <row r="20" spans="1:23" x14ac:dyDescent="0.3">
      <c r="A20" s="96" t="s">
        <v>1130</v>
      </c>
      <c r="B20" s="94">
        <v>7889</v>
      </c>
      <c r="C20" s="94" t="s">
        <v>151</v>
      </c>
      <c r="D20" s="94" t="s">
        <v>1044</v>
      </c>
      <c r="E20" s="94" t="s">
        <v>964</v>
      </c>
      <c r="F20" s="94" t="s">
        <v>1103</v>
      </c>
      <c r="G20" s="94" t="s">
        <v>1077</v>
      </c>
      <c r="H20" s="103">
        <v>45920</v>
      </c>
      <c r="I20" s="103">
        <v>45927</v>
      </c>
      <c r="J20" s="94" t="s">
        <v>1103</v>
      </c>
      <c r="K20" s="94" t="s">
        <v>1189</v>
      </c>
      <c r="L20" s="103">
        <v>45920</v>
      </c>
      <c r="M20" s="103">
        <v>45958</v>
      </c>
      <c r="N20" s="114">
        <v>1</v>
      </c>
      <c r="O20" s="114">
        <v>1</v>
      </c>
      <c r="P20" s="114">
        <v>1</v>
      </c>
      <c r="Q20" s="114">
        <v>1</v>
      </c>
      <c r="R20" s="114">
        <v>1</v>
      </c>
      <c r="S20" s="114">
        <v>1</v>
      </c>
      <c r="T20" s="114">
        <v>1</v>
      </c>
      <c r="U20" s="114">
        <v>1</v>
      </c>
      <c r="V20" s="114">
        <v>1</v>
      </c>
      <c r="W20" s="115">
        <v>1</v>
      </c>
    </row>
    <row r="21" spans="1:23" x14ac:dyDescent="0.3">
      <c r="A21" s="96" t="s">
        <v>1130</v>
      </c>
      <c r="B21" s="94">
        <v>8340</v>
      </c>
      <c r="C21" s="94" t="s">
        <v>150</v>
      </c>
      <c r="D21" s="94" t="s">
        <v>992</v>
      </c>
      <c r="E21" s="94" t="s">
        <v>993</v>
      </c>
      <c r="F21" s="94"/>
      <c r="G21" s="94" t="s">
        <v>1091</v>
      </c>
      <c r="H21" s="103"/>
      <c r="I21" s="103">
        <v>45919</v>
      </c>
      <c r="J21" s="94"/>
      <c r="K21" s="94" t="s">
        <v>1091</v>
      </c>
      <c r="L21" s="103"/>
      <c r="M21" s="103">
        <v>45919</v>
      </c>
      <c r="N21" s="114"/>
      <c r="O21" s="114">
        <v>1</v>
      </c>
      <c r="P21" s="114">
        <v>1</v>
      </c>
      <c r="Q21" s="114">
        <v>1</v>
      </c>
      <c r="R21" s="114">
        <v>1</v>
      </c>
      <c r="S21" s="114">
        <v>1</v>
      </c>
      <c r="T21" s="114">
        <v>1</v>
      </c>
      <c r="U21" s="114">
        <v>1</v>
      </c>
      <c r="V21" s="114">
        <v>1</v>
      </c>
      <c r="W21" s="115">
        <v>1</v>
      </c>
    </row>
    <row r="22" spans="1:23" x14ac:dyDescent="0.3">
      <c r="A22" s="96" t="s">
        <v>1130</v>
      </c>
      <c r="B22" s="94">
        <v>8140</v>
      </c>
      <c r="C22" s="94" t="s">
        <v>150</v>
      </c>
      <c r="D22" s="94" t="s">
        <v>1005</v>
      </c>
      <c r="E22" s="94" t="s">
        <v>964</v>
      </c>
      <c r="F22" s="94" t="s">
        <v>1088</v>
      </c>
      <c r="G22" s="94" t="s">
        <v>1089</v>
      </c>
      <c r="H22" s="103">
        <v>45902</v>
      </c>
      <c r="I22" s="103">
        <v>45942</v>
      </c>
      <c r="J22" s="94" t="s">
        <v>1088</v>
      </c>
      <c r="K22" s="94" t="s">
        <v>1189</v>
      </c>
      <c r="L22" s="103">
        <v>45902</v>
      </c>
      <c r="M22" s="103">
        <v>45958</v>
      </c>
      <c r="N22" s="114">
        <v>1</v>
      </c>
      <c r="O22" s="114">
        <v>1</v>
      </c>
      <c r="P22" s="114">
        <v>1</v>
      </c>
      <c r="Q22" s="114">
        <v>1</v>
      </c>
      <c r="R22" s="114">
        <v>1</v>
      </c>
      <c r="S22" s="114">
        <v>1</v>
      </c>
      <c r="T22" s="114">
        <v>1</v>
      </c>
      <c r="U22" s="114">
        <v>1</v>
      </c>
      <c r="V22" s="114">
        <v>1</v>
      </c>
      <c r="W22" s="115">
        <v>1</v>
      </c>
    </row>
    <row r="23" spans="1:23" x14ac:dyDescent="0.3">
      <c r="A23" s="96" t="s">
        <v>1130</v>
      </c>
      <c r="B23" s="94">
        <v>8184</v>
      </c>
      <c r="C23" s="94" t="s">
        <v>150</v>
      </c>
      <c r="D23" s="94" t="s">
        <v>1071</v>
      </c>
      <c r="E23" s="94" t="s">
        <v>964</v>
      </c>
      <c r="F23" s="94" t="s">
        <v>1076</v>
      </c>
      <c r="G23" s="94" t="s">
        <v>1100</v>
      </c>
      <c r="H23" s="103">
        <v>45850</v>
      </c>
      <c r="I23" s="103">
        <v>45911</v>
      </c>
      <c r="J23" s="94" t="s">
        <v>1098</v>
      </c>
      <c r="K23" s="94" t="s">
        <v>1000</v>
      </c>
      <c r="L23" s="103">
        <v>45860</v>
      </c>
      <c r="M23" s="103">
        <v>45894</v>
      </c>
      <c r="N23" s="114">
        <v>1</v>
      </c>
      <c r="O23" s="114">
        <v>1</v>
      </c>
      <c r="P23" s="114">
        <v>1</v>
      </c>
      <c r="Q23" s="114">
        <v>1</v>
      </c>
      <c r="R23" s="114">
        <v>1</v>
      </c>
      <c r="S23" s="114">
        <v>1</v>
      </c>
      <c r="T23" s="114">
        <v>1</v>
      </c>
      <c r="U23" s="114">
        <v>1</v>
      </c>
      <c r="V23" s="114">
        <v>1</v>
      </c>
      <c r="W23" s="115">
        <v>1</v>
      </c>
    </row>
    <row r="24" spans="1:23" x14ac:dyDescent="0.3">
      <c r="A24" s="96" t="s">
        <v>1130</v>
      </c>
      <c r="B24" s="94">
        <v>8169</v>
      </c>
      <c r="C24" s="94" t="s">
        <v>150</v>
      </c>
      <c r="D24" s="94" t="s">
        <v>997</v>
      </c>
      <c r="E24" s="94" t="s">
        <v>964</v>
      </c>
      <c r="F24" s="94" t="s">
        <v>1080</v>
      </c>
      <c r="G24" s="94" t="s">
        <v>1094</v>
      </c>
      <c r="H24" s="103">
        <v>45915</v>
      </c>
      <c r="I24" s="103">
        <v>45924</v>
      </c>
      <c r="J24" s="94" t="s">
        <v>1080</v>
      </c>
      <c r="K24" s="94" t="s">
        <v>1085</v>
      </c>
      <c r="L24" s="103">
        <v>45915</v>
      </c>
      <c r="M24" s="103">
        <v>45926</v>
      </c>
      <c r="N24" s="114">
        <v>1</v>
      </c>
      <c r="O24" s="114">
        <v>1</v>
      </c>
      <c r="P24" s="114">
        <v>1</v>
      </c>
      <c r="Q24" s="114">
        <v>1</v>
      </c>
      <c r="R24" s="114">
        <v>1</v>
      </c>
      <c r="S24" s="114">
        <v>1</v>
      </c>
      <c r="T24" s="114">
        <v>1</v>
      </c>
      <c r="U24" s="114">
        <v>1</v>
      </c>
      <c r="V24" s="114">
        <v>1</v>
      </c>
      <c r="W24" s="115">
        <v>1</v>
      </c>
    </row>
    <row r="25" spans="1:23" x14ac:dyDescent="0.3">
      <c r="A25" s="96" t="s">
        <v>1130</v>
      </c>
      <c r="B25" s="94">
        <v>8139</v>
      </c>
      <c r="C25" s="94" t="s">
        <v>150</v>
      </c>
      <c r="D25" s="94" t="s">
        <v>1006</v>
      </c>
      <c r="E25" s="94" t="s">
        <v>964</v>
      </c>
      <c r="F25" s="94" t="s">
        <v>1066</v>
      </c>
      <c r="G25" s="94" t="s">
        <v>1089</v>
      </c>
      <c r="H25" s="103">
        <v>45913</v>
      </c>
      <c r="I25" s="103">
        <v>45942</v>
      </c>
      <c r="J25" s="94" t="s">
        <v>1066</v>
      </c>
      <c r="K25" s="94" t="s">
        <v>1085</v>
      </c>
      <c r="L25" s="103">
        <v>45913</v>
      </c>
      <c r="M25" s="103">
        <v>45926</v>
      </c>
      <c r="N25" s="114">
        <v>1</v>
      </c>
      <c r="O25" s="114">
        <v>1</v>
      </c>
      <c r="P25" s="114">
        <v>1</v>
      </c>
      <c r="Q25" s="114">
        <v>1</v>
      </c>
      <c r="R25" s="114">
        <v>1</v>
      </c>
      <c r="S25" s="114">
        <v>1</v>
      </c>
      <c r="T25" s="114">
        <v>1</v>
      </c>
      <c r="U25" s="114">
        <v>1</v>
      </c>
      <c r="V25" s="114">
        <v>1</v>
      </c>
      <c r="W25" s="115">
        <v>1</v>
      </c>
    </row>
    <row r="26" spans="1:23" x14ac:dyDescent="0.3">
      <c r="A26" s="96" t="s">
        <v>1130</v>
      </c>
      <c r="B26" s="94">
        <v>8188</v>
      </c>
      <c r="C26" s="94" t="s">
        <v>150</v>
      </c>
      <c r="D26" s="94" t="s">
        <v>1073</v>
      </c>
      <c r="E26" s="94" t="s">
        <v>964</v>
      </c>
      <c r="F26" s="94" t="s">
        <v>1098</v>
      </c>
      <c r="G26" s="94" t="s">
        <v>953</v>
      </c>
      <c r="H26" s="103">
        <v>45860</v>
      </c>
      <c r="I26" s="103">
        <v>45885</v>
      </c>
      <c r="J26" s="94" t="s">
        <v>1098</v>
      </c>
      <c r="K26" s="94" t="s">
        <v>1000</v>
      </c>
      <c r="L26" s="103">
        <v>45860</v>
      </c>
      <c r="M26" s="103">
        <v>45894</v>
      </c>
      <c r="N26" s="114">
        <v>1</v>
      </c>
      <c r="O26" s="114">
        <v>1</v>
      </c>
      <c r="P26" s="114">
        <v>1</v>
      </c>
      <c r="Q26" s="114">
        <v>1</v>
      </c>
      <c r="R26" s="114">
        <v>1</v>
      </c>
      <c r="S26" s="114">
        <v>1</v>
      </c>
      <c r="T26" s="114">
        <v>1</v>
      </c>
      <c r="U26" s="114">
        <v>1</v>
      </c>
      <c r="V26" s="114">
        <v>1</v>
      </c>
      <c r="W26" s="115">
        <v>1</v>
      </c>
    </row>
    <row r="27" spans="1:23" x14ac:dyDescent="0.3">
      <c r="A27" s="96" t="s">
        <v>1130</v>
      </c>
      <c r="B27" s="94">
        <v>8167</v>
      </c>
      <c r="C27" s="94" t="s">
        <v>150</v>
      </c>
      <c r="D27" s="94" t="s">
        <v>999</v>
      </c>
      <c r="E27" s="94" t="s">
        <v>964</v>
      </c>
      <c r="F27" s="94" t="s">
        <v>1000</v>
      </c>
      <c r="G27" s="94" t="s">
        <v>1001</v>
      </c>
      <c r="H27" s="103">
        <v>45894</v>
      </c>
      <c r="I27" s="103">
        <v>45937</v>
      </c>
      <c r="J27" s="94" t="s">
        <v>1000</v>
      </c>
      <c r="K27" s="94" t="s">
        <v>1087</v>
      </c>
      <c r="L27" s="103">
        <v>45894</v>
      </c>
      <c r="M27" s="103">
        <v>45928</v>
      </c>
      <c r="N27" s="114">
        <v>1</v>
      </c>
      <c r="O27" s="114">
        <v>1</v>
      </c>
      <c r="P27" s="114">
        <v>1</v>
      </c>
      <c r="Q27" s="114">
        <v>1</v>
      </c>
      <c r="R27" s="114">
        <v>1</v>
      </c>
      <c r="S27" s="114">
        <v>1</v>
      </c>
      <c r="T27" s="114">
        <v>1</v>
      </c>
      <c r="U27" s="114">
        <v>1</v>
      </c>
      <c r="V27" s="114">
        <v>1</v>
      </c>
      <c r="W27" s="115">
        <v>1</v>
      </c>
    </row>
    <row r="28" spans="1:23" x14ac:dyDescent="0.3">
      <c r="A28" s="96" t="s">
        <v>1130</v>
      </c>
      <c r="B28" s="94">
        <v>8166</v>
      </c>
      <c r="C28" s="94" t="s">
        <v>150</v>
      </c>
      <c r="D28" s="94" t="s">
        <v>1002</v>
      </c>
      <c r="E28" s="94" t="s">
        <v>964</v>
      </c>
      <c r="F28" s="94" t="s">
        <v>1000</v>
      </c>
      <c r="G28" s="94" t="s">
        <v>1001</v>
      </c>
      <c r="H28" s="103">
        <v>45894</v>
      </c>
      <c r="I28" s="103">
        <v>45937</v>
      </c>
      <c r="J28" s="94" t="s">
        <v>1000</v>
      </c>
      <c r="K28" s="94" t="s">
        <v>1087</v>
      </c>
      <c r="L28" s="103">
        <v>45894</v>
      </c>
      <c r="M28" s="103">
        <v>45928</v>
      </c>
      <c r="N28" s="114">
        <v>1</v>
      </c>
      <c r="O28" s="114">
        <v>1</v>
      </c>
      <c r="P28" s="114">
        <v>1</v>
      </c>
      <c r="Q28" s="114">
        <v>1</v>
      </c>
      <c r="R28" s="114">
        <v>1</v>
      </c>
      <c r="S28" s="114">
        <v>1</v>
      </c>
      <c r="T28" s="114">
        <v>1</v>
      </c>
      <c r="U28" s="114">
        <v>1</v>
      </c>
      <c r="V28" s="114">
        <v>1</v>
      </c>
      <c r="W28" s="115">
        <v>1</v>
      </c>
    </row>
    <row r="29" spans="1:23" x14ac:dyDescent="0.3">
      <c r="A29" s="96" t="s">
        <v>1130</v>
      </c>
      <c r="B29" s="94">
        <v>8187</v>
      </c>
      <c r="C29" s="94" t="s">
        <v>150</v>
      </c>
      <c r="D29" s="94" t="s">
        <v>1054</v>
      </c>
      <c r="E29" s="94" t="s">
        <v>964</v>
      </c>
      <c r="F29" s="94" t="s">
        <v>953</v>
      </c>
      <c r="G29" s="94" t="s">
        <v>1001</v>
      </c>
      <c r="H29" s="103">
        <v>45885</v>
      </c>
      <c r="I29" s="103">
        <v>45937</v>
      </c>
      <c r="J29" s="94" t="s">
        <v>953</v>
      </c>
      <c r="K29" s="94" t="s">
        <v>1112</v>
      </c>
      <c r="L29" s="103">
        <v>45885</v>
      </c>
      <c r="M29" s="103">
        <v>45951</v>
      </c>
      <c r="N29" s="114">
        <v>1</v>
      </c>
      <c r="O29" s="114">
        <v>1</v>
      </c>
      <c r="P29" s="114">
        <v>1</v>
      </c>
      <c r="Q29" s="114">
        <v>1</v>
      </c>
      <c r="R29" s="114">
        <v>1</v>
      </c>
      <c r="S29" s="114">
        <v>1</v>
      </c>
      <c r="T29" s="114">
        <v>1</v>
      </c>
      <c r="U29" s="114">
        <v>1</v>
      </c>
      <c r="V29" s="114">
        <v>1</v>
      </c>
      <c r="W29" s="115">
        <v>1</v>
      </c>
    </row>
    <row r="30" spans="1:23" x14ac:dyDescent="0.3">
      <c r="A30" s="96" t="s">
        <v>1130</v>
      </c>
      <c r="B30" s="94">
        <v>8185</v>
      </c>
      <c r="C30" s="94" t="s">
        <v>150</v>
      </c>
      <c r="D30" s="94" t="s">
        <v>1072</v>
      </c>
      <c r="E30" s="94" t="s">
        <v>964</v>
      </c>
      <c r="F30" s="94" t="s">
        <v>1088</v>
      </c>
      <c r="G30" s="94" t="s">
        <v>1001</v>
      </c>
      <c r="H30" s="103">
        <v>45902</v>
      </c>
      <c r="I30" s="103">
        <v>45937</v>
      </c>
      <c r="J30" s="94" t="s">
        <v>1088</v>
      </c>
      <c r="K30" s="94" t="s">
        <v>1112</v>
      </c>
      <c r="L30" s="103">
        <v>45902</v>
      </c>
      <c r="M30" s="103">
        <v>45951</v>
      </c>
      <c r="N30" s="114">
        <v>1</v>
      </c>
      <c r="O30" s="114">
        <v>1</v>
      </c>
      <c r="P30" s="114">
        <v>1</v>
      </c>
      <c r="Q30" s="114">
        <v>1</v>
      </c>
      <c r="R30" s="114">
        <v>1</v>
      </c>
      <c r="S30" s="114">
        <v>1</v>
      </c>
      <c r="T30" s="114">
        <v>1</v>
      </c>
      <c r="U30" s="114">
        <v>1</v>
      </c>
      <c r="V30" s="114">
        <v>1</v>
      </c>
      <c r="W30" s="115">
        <v>1</v>
      </c>
    </row>
    <row r="31" spans="1:23" x14ac:dyDescent="0.3">
      <c r="A31" s="96" t="s">
        <v>1130</v>
      </c>
      <c r="B31" s="94">
        <v>8170</v>
      </c>
      <c r="C31" s="94" t="s">
        <v>150</v>
      </c>
      <c r="D31" s="94" t="s">
        <v>1068</v>
      </c>
      <c r="E31" s="94" t="s">
        <v>964</v>
      </c>
      <c r="F31" s="94" t="s">
        <v>1018</v>
      </c>
      <c r="G31" s="94" t="s">
        <v>1096</v>
      </c>
      <c r="H31" s="103">
        <v>45921</v>
      </c>
      <c r="I31" s="103">
        <v>45947</v>
      </c>
      <c r="J31" s="94" t="s">
        <v>1018</v>
      </c>
      <c r="K31" s="94" t="s">
        <v>1112</v>
      </c>
      <c r="L31" s="103">
        <v>45921</v>
      </c>
      <c r="M31" s="103">
        <v>45951</v>
      </c>
      <c r="N31" s="114">
        <v>1</v>
      </c>
      <c r="O31" s="114">
        <v>1</v>
      </c>
      <c r="P31" s="114">
        <v>1</v>
      </c>
      <c r="Q31" s="114">
        <v>1</v>
      </c>
      <c r="R31" s="114">
        <v>1</v>
      </c>
      <c r="S31" s="114">
        <v>1</v>
      </c>
      <c r="T31" s="114">
        <v>1</v>
      </c>
      <c r="U31" s="114">
        <v>1</v>
      </c>
      <c r="V31" s="114">
        <v>1</v>
      </c>
      <c r="W31" s="115">
        <v>1</v>
      </c>
    </row>
    <row r="32" spans="1:23" x14ac:dyDescent="0.3">
      <c r="A32" s="96" t="s">
        <v>1130</v>
      </c>
      <c r="B32" s="94">
        <v>8168</v>
      </c>
      <c r="C32" s="94" t="s">
        <v>150</v>
      </c>
      <c r="D32" s="94" t="s">
        <v>998</v>
      </c>
      <c r="E32" s="94" t="s">
        <v>964</v>
      </c>
      <c r="F32" s="94" t="s">
        <v>1082</v>
      </c>
      <c r="G32" s="94" t="s">
        <v>1097</v>
      </c>
      <c r="H32" s="103">
        <v>45918</v>
      </c>
      <c r="I32" s="103">
        <v>45932</v>
      </c>
      <c r="J32" s="94" t="s">
        <v>1082</v>
      </c>
      <c r="K32" s="94" t="s">
        <v>1112</v>
      </c>
      <c r="L32" s="103">
        <v>45918</v>
      </c>
      <c r="M32" s="103">
        <v>45951</v>
      </c>
      <c r="N32" s="114">
        <v>1</v>
      </c>
      <c r="O32" s="114">
        <v>1</v>
      </c>
      <c r="P32" s="114">
        <v>1</v>
      </c>
      <c r="Q32" s="114">
        <v>1</v>
      </c>
      <c r="R32" s="114">
        <v>1</v>
      </c>
      <c r="S32" s="114">
        <v>1</v>
      </c>
      <c r="T32" s="114">
        <v>1</v>
      </c>
      <c r="U32" s="114">
        <v>1</v>
      </c>
      <c r="V32" s="114">
        <v>1</v>
      </c>
      <c r="W32" s="115">
        <v>1</v>
      </c>
    </row>
    <row r="33" spans="1:23" x14ac:dyDescent="0.3">
      <c r="A33" s="96" t="s">
        <v>1130</v>
      </c>
      <c r="B33" s="94">
        <v>8186</v>
      </c>
      <c r="C33" s="94" t="s">
        <v>151</v>
      </c>
      <c r="D33" s="94" t="s">
        <v>1055</v>
      </c>
      <c r="E33" s="94" t="s">
        <v>964</v>
      </c>
      <c r="F33" s="94" t="s">
        <v>1099</v>
      </c>
      <c r="G33" s="94" t="s">
        <v>1089</v>
      </c>
      <c r="H33" s="103">
        <v>45923</v>
      </c>
      <c r="I33" s="103">
        <v>45942</v>
      </c>
      <c r="J33" s="94" t="s">
        <v>1099</v>
      </c>
      <c r="K33" s="94" t="s">
        <v>1186</v>
      </c>
      <c r="L33" s="103">
        <v>45923</v>
      </c>
      <c r="M33" s="103"/>
      <c r="N33" s="114">
        <v>1</v>
      </c>
      <c r="O33" s="114">
        <v>1</v>
      </c>
      <c r="P33" s="114">
        <v>1</v>
      </c>
      <c r="Q33" s="114">
        <v>1</v>
      </c>
      <c r="R33" s="114">
        <v>1</v>
      </c>
      <c r="S33" s="114">
        <v>0</v>
      </c>
      <c r="T33" s="114">
        <v>0</v>
      </c>
      <c r="U33" s="114">
        <v>0</v>
      </c>
      <c r="V33" s="114">
        <v>0.43749999999999994</v>
      </c>
      <c r="W33" s="115">
        <v>0.55000000000000004</v>
      </c>
    </row>
    <row r="34" spans="1:23" x14ac:dyDescent="0.3">
      <c r="A34" s="96" t="s">
        <v>1130</v>
      </c>
      <c r="B34" s="94">
        <v>8189</v>
      </c>
      <c r="C34" s="94" t="s">
        <v>151</v>
      </c>
      <c r="D34" s="94" t="s">
        <v>1074</v>
      </c>
      <c r="E34" s="94" t="s">
        <v>964</v>
      </c>
      <c r="F34" s="94" t="s">
        <v>1000</v>
      </c>
      <c r="G34" s="94" t="s">
        <v>1018</v>
      </c>
      <c r="H34" s="103">
        <v>45894</v>
      </c>
      <c r="I34" s="103">
        <v>45921</v>
      </c>
      <c r="J34" s="94" t="s">
        <v>1083</v>
      </c>
      <c r="K34" s="94" t="s">
        <v>1189</v>
      </c>
      <c r="L34" s="103">
        <v>45909</v>
      </c>
      <c r="M34" s="103">
        <v>45958</v>
      </c>
      <c r="N34" s="114">
        <v>1</v>
      </c>
      <c r="O34" s="114">
        <v>1</v>
      </c>
      <c r="P34" s="114">
        <v>1</v>
      </c>
      <c r="Q34" s="114">
        <v>1</v>
      </c>
      <c r="R34" s="114">
        <v>1</v>
      </c>
      <c r="S34" s="114">
        <v>1</v>
      </c>
      <c r="T34" s="114">
        <v>1</v>
      </c>
      <c r="U34" s="114">
        <v>0</v>
      </c>
      <c r="V34" s="114">
        <v>0.8125</v>
      </c>
      <c r="W34" s="115">
        <v>0.85000000000000009</v>
      </c>
    </row>
    <row r="35" spans="1:23" x14ac:dyDescent="0.3">
      <c r="A35" s="96" t="s">
        <v>1130</v>
      </c>
      <c r="B35" s="94">
        <v>8142</v>
      </c>
      <c r="C35" s="94" t="s">
        <v>151</v>
      </c>
      <c r="D35" s="94" t="s">
        <v>1003</v>
      </c>
      <c r="E35" s="94" t="s">
        <v>964</v>
      </c>
      <c r="F35" s="94" t="s">
        <v>1077</v>
      </c>
      <c r="G35" s="94" t="s">
        <v>1096</v>
      </c>
      <c r="H35" s="103">
        <v>45927</v>
      </c>
      <c r="I35" s="103">
        <v>45947</v>
      </c>
      <c r="J35" s="94" t="s">
        <v>1077</v>
      </c>
      <c r="K35" s="94" t="s">
        <v>1189</v>
      </c>
      <c r="L35" s="103">
        <v>45927</v>
      </c>
      <c r="M35" s="103">
        <v>45958</v>
      </c>
      <c r="N35" s="114">
        <v>1</v>
      </c>
      <c r="O35" s="114">
        <v>1</v>
      </c>
      <c r="P35" s="114">
        <v>1</v>
      </c>
      <c r="Q35" s="114">
        <v>1</v>
      </c>
      <c r="R35" s="114">
        <v>1</v>
      </c>
      <c r="S35" s="114">
        <v>1</v>
      </c>
      <c r="T35" s="114">
        <v>1</v>
      </c>
      <c r="U35" s="114">
        <v>1</v>
      </c>
      <c r="V35" s="114">
        <v>1</v>
      </c>
      <c r="W35" s="115">
        <v>1</v>
      </c>
    </row>
    <row r="36" spans="1:23" x14ac:dyDescent="0.3">
      <c r="A36" s="96" t="s">
        <v>1130</v>
      </c>
      <c r="B36" s="94">
        <v>8164</v>
      </c>
      <c r="C36" s="94" t="s">
        <v>151</v>
      </c>
      <c r="D36" s="94" t="s">
        <v>1010</v>
      </c>
      <c r="E36" s="94" t="s">
        <v>964</v>
      </c>
      <c r="F36" s="94" t="s">
        <v>1085</v>
      </c>
      <c r="G36" s="94" t="s">
        <v>1096</v>
      </c>
      <c r="H36" s="103">
        <v>45926</v>
      </c>
      <c r="I36" s="103">
        <v>45947</v>
      </c>
      <c r="J36" s="94" t="s">
        <v>1116</v>
      </c>
      <c r="K36" s="94" t="s">
        <v>1112</v>
      </c>
      <c r="L36" s="103">
        <v>45936</v>
      </c>
      <c r="M36" s="103">
        <v>45951</v>
      </c>
      <c r="N36" s="114">
        <v>1</v>
      </c>
      <c r="O36" s="114">
        <v>1</v>
      </c>
      <c r="P36" s="114">
        <v>1</v>
      </c>
      <c r="Q36" s="114">
        <v>1</v>
      </c>
      <c r="R36" s="114">
        <v>1</v>
      </c>
      <c r="S36" s="114">
        <v>1</v>
      </c>
      <c r="T36" s="114">
        <v>1</v>
      </c>
      <c r="U36" s="114">
        <v>1</v>
      </c>
      <c r="V36" s="114">
        <v>1</v>
      </c>
      <c r="W36" s="115">
        <v>1</v>
      </c>
    </row>
    <row r="37" spans="1:23" x14ac:dyDescent="0.3">
      <c r="A37" s="96" t="s">
        <v>1130</v>
      </c>
      <c r="B37" s="94">
        <v>8141</v>
      </c>
      <c r="C37" s="94" t="s">
        <v>151</v>
      </c>
      <c r="D37" s="94" t="s">
        <v>1004</v>
      </c>
      <c r="E37" s="94" t="s">
        <v>993</v>
      </c>
      <c r="F37" s="94"/>
      <c r="G37" s="94" t="s">
        <v>1077</v>
      </c>
      <c r="H37" s="103"/>
      <c r="I37" s="103">
        <v>45927</v>
      </c>
      <c r="J37" s="94"/>
      <c r="K37" s="94" t="s">
        <v>1114</v>
      </c>
      <c r="L37" s="103"/>
      <c r="M37" s="103">
        <v>45955</v>
      </c>
      <c r="N37" s="114">
        <v>1</v>
      </c>
      <c r="O37" s="114">
        <v>1</v>
      </c>
      <c r="P37" s="114">
        <v>1</v>
      </c>
      <c r="Q37" s="114">
        <v>1</v>
      </c>
      <c r="R37" s="114">
        <v>1</v>
      </c>
      <c r="S37" s="114">
        <v>1</v>
      </c>
      <c r="T37" s="114">
        <v>1</v>
      </c>
      <c r="U37" s="114">
        <v>1</v>
      </c>
      <c r="V37" s="114">
        <v>1</v>
      </c>
      <c r="W37" s="115">
        <v>1</v>
      </c>
    </row>
    <row r="38" spans="1:23" x14ac:dyDescent="0.3">
      <c r="A38" s="96" t="s">
        <v>1130</v>
      </c>
      <c r="B38" s="94">
        <v>8137</v>
      </c>
      <c r="C38" s="94" t="s">
        <v>150</v>
      </c>
      <c r="D38" s="94" t="s">
        <v>1008</v>
      </c>
      <c r="E38" s="94" t="s">
        <v>964</v>
      </c>
      <c r="F38" s="94" t="s">
        <v>1117</v>
      </c>
      <c r="G38" s="94" t="s">
        <v>1096</v>
      </c>
      <c r="H38" s="103">
        <v>45938</v>
      </c>
      <c r="I38" s="103">
        <v>45947</v>
      </c>
      <c r="J38" s="94" t="s">
        <v>1117</v>
      </c>
      <c r="K38" s="94" t="s">
        <v>1112</v>
      </c>
      <c r="L38" s="103">
        <v>45938</v>
      </c>
      <c r="M38" s="103">
        <v>45951</v>
      </c>
      <c r="N38" s="114">
        <v>1</v>
      </c>
      <c r="O38" s="114">
        <v>1</v>
      </c>
      <c r="P38" s="114">
        <v>1</v>
      </c>
      <c r="Q38" s="114">
        <v>1</v>
      </c>
      <c r="R38" s="114">
        <v>1</v>
      </c>
      <c r="S38" s="114">
        <v>1</v>
      </c>
      <c r="T38" s="114">
        <v>1</v>
      </c>
      <c r="U38" s="114">
        <v>1</v>
      </c>
      <c r="V38" s="114">
        <v>1</v>
      </c>
      <c r="W38" s="115">
        <v>1</v>
      </c>
    </row>
    <row r="39" spans="1:23" x14ac:dyDescent="0.3">
      <c r="A39" s="96" t="s">
        <v>1130</v>
      </c>
      <c r="B39" s="94">
        <v>8218</v>
      </c>
      <c r="C39" s="94" t="s">
        <v>150</v>
      </c>
      <c r="D39" s="94" t="s">
        <v>1064</v>
      </c>
      <c r="E39" s="94" t="s">
        <v>993</v>
      </c>
      <c r="F39" s="94"/>
      <c r="G39" s="94" t="s">
        <v>994</v>
      </c>
      <c r="H39" s="103"/>
      <c r="I39" s="103">
        <v>45855</v>
      </c>
      <c r="J39" s="94"/>
      <c r="K39" s="94" t="s">
        <v>955</v>
      </c>
      <c r="L39" s="103"/>
      <c r="M39" s="103">
        <v>45867</v>
      </c>
      <c r="N39" s="114"/>
      <c r="O39" s="114">
        <v>1</v>
      </c>
      <c r="P39" s="114">
        <v>1</v>
      </c>
      <c r="Q39" s="114">
        <v>1</v>
      </c>
      <c r="R39" s="114">
        <v>1</v>
      </c>
      <c r="S39" s="114">
        <v>1</v>
      </c>
      <c r="T39" s="114">
        <v>1</v>
      </c>
      <c r="U39" s="114">
        <v>1</v>
      </c>
      <c r="V39" s="114">
        <v>1</v>
      </c>
      <c r="W39" s="115">
        <v>1</v>
      </c>
    </row>
    <row r="40" spans="1:23" x14ac:dyDescent="0.3">
      <c r="A40" s="96" t="s">
        <v>1130</v>
      </c>
      <c r="B40" s="94">
        <v>8057</v>
      </c>
      <c r="C40" s="94" t="s">
        <v>150</v>
      </c>
      <c r="D40" s="94" t="s">
        <v>1040</v>
      </c>
      <c r="E40" s="94" t="s">
        <v>964</v>
      </c>
      <c r="F40" s="94" t="s">
        <v>1050</v>
      </c>
      <c r="G40" s="94" t="s">
        <v>1001</v>
      </c>
      <c r="H40" s="103">
        <v>45899</v>
      </c>
      <c r="I40" s="103">
        <v>45937</v>
      </c>
      <c r="J40" s="94" t="s">
        <v>1050</v>
      </c>
      <c r="K40" s="94" t="s">
        <v>1087</v>
      </c>
      <c r="L40" s="103">
        <v>45899</v>
      </c>
      <c r="M40" s="103">
        <v>45928</v>
      </c>
      <c r="N40" s="114">
        <v>1</v>
      </c>
      <c r="O40" s="114">
        <v>1</v>
      </c>
      <c r="P40" s="114">
        <v>1</v>
      </c>
      <c r="Q40" s="114">
        <v>1</v>
      </c>
      <c r="R40" s="114">
        <v>1</v>
      </c>
      <c r="S40" s="114">
        <v>1</v>
      </c>
      <c r="T40" s="114">
        <v>1</v>
      </c>
      <c r="U40" s="114">
        <v>1</v>
      </c>
      <c r="V40" s="114">
        <v>1</v>
      </c>
      <c r="W40" s="115">
        <v>1</v>
      </c>
    </row>
    <row r="41" spans="1:23" x14ac:dyDescent="0.3">
      <c r="A41" s="96" t="s">
        <v>1130</v>
      </c>
      <c r="B41" s="94">
        <v>7765</v>
      </c>
      <c r="C41" s="94" t="s">
        <v>150</v>
      </c>
      <c r="D41" s="94" t="s">
        <v>1036</v>
      </c>
      <c r="E41" s="94" t="s">
        <v>993</v>
      </c>
      <c r="F41" s="94"/>
      <c r="G41" s="94" t="s">
        <v>750</v>
      </c>
      <c r="H41" s="103"/>
      <c r="I41" s="103">
        <v>45722</v>
      </c>
      <c r="J41" s="94"/>
      <c r="K41" s="94" t="s">
        <v>750</v>
      </c>
      <c r="L41" s="103"/>
      <c r="M41" s="103">
        <v>45722</v>
      </c>
      <c r="N41" s="114"/>
      <c r="O41" s="114">
        <v>1</v>
      </c>
      <c r="P41" s="114">
        <v>1</v>
      </c>
      <c r="Q41" s="114">
        <v>1</v>
      </c>
      <c r="R41" s="114">
        <v>1</v>
      </c>
      <c r="S41" s="114">
        <v>1</v>
      </c>
      <c r="T41" s="114">
        <v>1</v>
      </c>
      <c r="U41" s="114">
        <v>1</v>
      </c>
      <c r="V41" s="114">
        <v>1</v>
      </c>
      <c r="W41" s="115">
        <v>1</v>
      </c>
    </row>
    <row r="42" spans="1:23" x14ac:dyDescent="0.3">
      <c r="A42" s="96" t="s">
        <v>1130</v>
      </c>
      <c r="B42" s="94">
        <v>8060</v>
      </c>
      <c r="C42" s="94" t="s">
        <v>150</v>
      </c>
      <c r="D42" s="94" t="s">
        <v>1038</v>
      </c>
      <c r="E42" s="94" t="s">
        <v>993</v>
      </c>
      <c r="F42" s="94"/>
      <c r="G42" s="94" t="s">
        <v>1077</v>
      </c>
      <c r="H42" s="103"/>
      <c r="I42" s="103">
        <v>45927</v>
      </c>
      <c r="J42" s="94"/>
      <c r="K42" s="94" t="s">
        <v>1091</v>
      </c>
      <c r="L42" s="103"/>
      <c r="M42" s="103">
        <v>45919</v>
      </c>
      <c r="N42" s="114"/>
      <c r="O42" s="114">
        <v>1</v>
      </c>
      <c r="P42" s="114">
        <v>1</v>
      </c>
      <c r="Q42" s="114">
        <v>1</v>
      </c>
      <c r="R42" s="114">
        <v>1</v>
      </c>
      <c r="S42" s="114">
        <v>1</v>
      </c>
      <c r="T42" s="114">
        <v>1</v>
      </c>
      <c r="U42" s="114">
        <v>1</v>
      </c>
      <c r="V42" s="114">
        <v>1</v>
      </c>
      <c r="W42" s="115">
        <v>1</v>
      </c>
    </row>
    <row r="43" spans="1:23" x14ac:dyDescent="0.3">
      <c r="A43" s="96" t="s">
        <v>1130</v>
      </c>
      <c r="B43" s="94">
        <v>8044</v>
      </c>
      <c r="C43" s="94" t="s">
        <v>150</v>
      </c>
      <c r="D43" s="94" t="s">
        <v>1059</v>
      </c>
      <c r="E43" s="94" t="s">
        <v>964</v>
      </c>
      <c r="F43" s="94" t="s">
        <v>956</v>
      </c>
      <c r="G43" s="94" t="s">
        <v>953</v>
      </c>
      <c r="H43" s="103">
        <v>45861</v>
      </c>
      <c r="I43" s="103">
        <v>45885</v>
      </c>
      <c r="J43" s="94" t="s">
        <v>956</v>
      </c>
      <c r="K43" s="94" t="s">
        <v>1188</v>
      </c>
      <c r="L43" s="103">
        <v>45861</v>
      </c>
      <c r="M43" s="103">
        <v>45953</v>
      </c>
      <c r="N43" s="114">
        <v>1</v>
      </c>
      <c r="O43" s="114">
        <v>1</v>
      </c>
      <c r="P43" s="114">
        <v>1</v>
      </c>
      <c r="Q43" s="114">
        <v>1</v>
      </c>
      <c r="R43" s="114">
        <v>1</v>
      </c>
      <c r="S43" s="114">
        <v>1</v>
      </c>
      <c r="T43" s="114">
        <v>1</v>
      </c>
      <c r="U43" s="114">
        <v>1</v>
      </c>
      <c r="V43" s="114">
        <v>1</v>
      </c>
      <c r="W43" s="115">
        <v>1</v>
      </c>
    </row>
    <row r="44" spans="1:23" x14ac:dyDescent="0.3">
      <c r="A44" s="96" t="s">
        <v>1130</v>
      </c>
      <c r="B44" s="94">
        <v>8056</v>
      </c>
      <c r="C44" s="94" t="s">
        <v>150</v>
      </c>
      <c r="D44" s="94" t="s">
        <v>1092</v>
      </c>
      <c r="E44" s="94" t="s">
        <v>964</v>
      </c>
      <c r="F44" s="94" t="s">
        <v>955</v>
      </c>
      <c r="G44" s="94" t="s">
        <v>953</v>
      </c>
      <c r="H44" s="103">
        <v>45867</v>
      </c>
      <c r="I44" s="103">
        <v>45885</v>
      </c>
      <c r="J44" s="94" t="s">
        <v>955</v>
      </c>
      <c r="K44" s="94" t="s">
        <v>1093</v>
      </c>
      <c r="L44" s="103">
        <v>45867</v>
      </c>
      <c r="M44" s="103">
        <v>45881</v>
      </c>
      <c r="N44" s="114">
        <v>1</v>
      </c>
      <c r="O44" s="114">
        <v>1</v>
      </c>
      <c r="P44" s="114">
        <v>1</v>
      </c>
      <c r="Q44" s="114">
        <v>1</v>
      </c>
      <c r="R44" s="114">
        <v>1</v>
      </c>
      <c r="S44" s="114">
        <v>1</v>
      </c>
      <c r="T44" s="114">
        <v>1</v>
      </c>
      <c r="U44" s="114">
        <v>1</v>
      </c>
      <c r="V44" s="114">
        <v>1</v>
      </c>
      <c r="W44" s="115">
        <v>1</v>
      </c>
    </row>
    <row r="45" spans="1:23" x14ac:dyDescent="0.3">
      <c r="A45" s="96" t="s">
        <v>1130</v>
      </c>
      <c r="B45" s="94">
        <v>8340</v>
      </c>
      <c r="C45" s="94" t="s">
        <v>150</v>
      </c>
      <c r="D45" s="94" t="s">
        <v>992</v>
      </c>
      <c r="E45" s="94" t="s">
        <v>993</v>
      </c>
      <c r="F45" s="94"/>
      <c r="G45" s="94" t="s">
        <v>1016</v>
      </c>
      <c r="H45" s="103"/>
      <c r="I45" s="103">
        <v>45916</v>
      </c>
      <c r="J45" s="94"/>
      <c r="K45" s="94" t="s">
        <v>1091</v>
      </c>
      <c r="L45" s="103"/>
      <c r="M45" s="103">
        <v>45919</v>
      </c>
      <c r="N45" s="114"/>
      <c r="O45" s="114">
        <v>1</v>
      </c>
      <c r="P45" s="114">
        <v>1</v>
      </c>
      <c r="Q45" s="114">
        <v>1</v>
      </c>
      <c r="R45" s="114">
        <v>1</v>
      </c>
      <c r="S45" s="114">
        <v>1</v>
      </c>
      <c r="T45" s="114">
        <v>1</v>
      </c>
      <c r="U45" s="114">
        <v>1</v>
      </c>
      <c r="V45" s="114">
        <v>1</v>
      </c>
      <c r="W45" s="115">
        <v>1</v>
      </c>
    </row>
    <row r="46" spans="1:23" x14ac:dyDescent="0.3">
      <c r="A46" s="96" t="s">
        <v>1130</v>
      </c>
      <c r="B46" s="94">
        <v>8058</v>
      </c>
      <c r="C46" s="94" t="s">
        <v>150</v>
      </c>
      <c r="D46" s="94" t="s">
        <v>1039</v>
      </c>
      <c r="E46" s="94" t="s">
        <v>964</v>
      </c>
      <c r="F46" s="94" t="s">
        <v>1050</v>
      </c>
      <c r="G46" s="94" t="s">
        <v>1001</v>
      </c>
      <c r="H46" s="103">
        <v>45899</v>
      </c>
      <c r="I46" s="103">
        <v>45937</v>
      </c>
      <c r="J46" s="94" t="s">
        <v>1050</v>
      </c>
      <c r="K46" s="94" t="s">
        <v>1085</v>
      </c>
      <c r="L46" s="103">
        <v>45899</v>
      </c>
      <c r="M46" s="103">
        <v>45926</v>
      </c>
      <c r="N46" s="114">
        <v>1</v>
      </c>
      <c r="O46" s="114">
        <v>1</v>
      </c>
      <c r="P46" s="114">
        <v>1</v>
      </c>
      <c r="Q46" s="114">
        <v>1</v>
      </c>
      <c r="R46" s="114">
        <v>1</v>
      </c>
      <c r="S46" s="114">
        <v>1</v>
      </c>
      <c r="T46" s="114">
        <v>1</v>
      </c>
      <c r="U46" s="114">
        <v>1</v>
      </c>
      <c r="V46" s="114">
        <v>1</v>
      </c>
      <c r="W46" s="115">
        <v>1</v>
      </c>
    </row>
    <row r="47" spans="1:23" x14ac:dyDescent="0.3">
      <c r="A47" s="96" t="s">
        <v>1130</v>
      </c>
      <c r="B47" s="94">
        <v>7868</v>
      </c>
      <c r="C47" s="94" t="s">
        <v>150</v>
      </c>
      <c r="D47" s="94" t="s">
        <v>1102</v>
      </c>
      <c r="E47" s="94" t="s">
        <v>964</v>
      </c>
      <c r="F47" s="94" t="s">
        <v>1050</v>
      </c>
      <c r="G47" s="94" t="s">
        <v>1001</v>
      </c>
      <c r="H47" s="103">
        <v>45899</v>
      </c>
      <c r="I47" s="103">
        <v>45937</v>
      </c>
      <c r="J47" s="94" t="s">
        <v>1050</v>
      </c>
      <c r="K47" s="94" t="s">
        <v>1085</v>
      </c>
      <c r="L47" s="103">
        <v>45899</v>
      </c>
      <c r="M47" s="103">
        <v>45926</v>
      </c>
      <c r="N47" s="114">
        <v>1</v>
      </c>
      <c r="O47" s="114">
        <v>1</v>
      </c>
      <c r="P47" s="114">
        <v>1</v>
      </c>
      <c r="Q47" s="114">
        <v>1</v>
      </c>
      <c r="R47" s="114">
        <v>1</v>
      </c>
      <c r="S47" s="114">
        <v>1</v>
      </c>
      <c r="T47" s="114">
        <v>1</v>
      </c>
      <c r="U47" s="114">
        <v>1</v>
      </c>
      <c r="V47" s="114">
        <v>1</v>
      </c>
      <c r="W47" s="115">
        <v>1</v>
      </c>
    </row>
    <row r="48" spans="1:23" x14ac:dyDescent="0.3">
      <c r="A48" s="96" t="s">
        <v>1130</v>
      </c>
      <c r="B48" s="94">
        <v>8045</v>
      </c>
      <c r="C48" s="94" t="s">
        <v>150</v>
      </c>
      <c r="D48" s="94" t="s">
        <v>1069</v>
      </c>
      <c r="E48" s="94" t="s">
        <v>964</v>
      </c>
      <c r="F48" s="94" t="s">
        <v>1065</v>
      </c>
      <c r="G48" s="94" t="s">
        <v>1001</v>
      </c>
      <c r="H48" s="103">
        <v>45906</v>
      </c>
      <c r="I48" s="103">
        <v>45937</v>
      </c>
      <c r="J48" s="94" t="s">
        <v>1065</v>
      </c>
      <c r="K48" s="94" t="s">
        <v>1085</v>
      </c>
      <c r="L48" s="103">
        <v>45906</v>
      </c>
      <c r="M48" s="103">
        <v>45926</v>
      </c>
      <c r="N48" s="114">
        <v>1</v>
      </c>
      <c r="O48" s="114">
        <v>1</v>
      </c>
      <c r="P48" s="114">
        <v>1</v>
      </c>
      <c r="Q48" s="114">
        <v>1</v>
      </c>
      <c r="R48" s="114">
        <v>1</v>
      </c>
      <c r="S48" s="114">
        <v>1</v>
      </c>
      <c r="T48" s="114">
        <v>1</v>
      </c>
      <c r="U48" s="114">
        <v>1</v>
      </c>
      <c r="V48" s="114">
        <v>1</v>
      </c>
      <c r="W48" s="115">
        <v>1</v>
      </c>
    </row>
    <row r="49" spans="1:23" x14ac:dyDescent="0.3">
      <c r="A49" s="96" t="s">
        <v>1130</v>
      </c>
      <c r="B49" s="94">
        <v>8048</v>
      </c>
      <c r="C49" s="94" t="s">
        <v>150</v>
      </c>
      <c r="D49" s="94" t="s">
        <v>1063</v>
      </c>
      <c r="E49" s="94" t="s">
        <v>964</v>
      </c>
      <c r="F49" s="94" t="s">
        <v>1065</v>
      </c>
      <c r="G49" s="94" t="s">
        <v>1001</v>
      </c>
      <c r="H49" s="103">
        <v>45906</v>
      </c>
      <c r="I49" s="103">
        <v>45937</v>
      </c>
      <c r="J49" s="94" t="s">
        <v>1065</v>
      </c>
      <c r="K49" s="94" t="s">
        <v>1112</v>
      </c>
      <c r="L49" s="103">
        <v>45906</v>
      </c>
      <c r="M49" s="103">
        <v>45951</v>
      </c>
      <c r="N49" s="114">
        <v>1</v>
      </c>
      <c r="O49" s="114">
        <v>1</v>
      </c>
      <c r="P49" s="114">
        <v>1</v>
      </c>
      <c r="Q49" s="114">
        <v>1</v>
      </c>
      <c r="R49" s="114">
        <v>1</v>
      </c>
      <c r="S49" s="114">
        <v>1</v>
      </c>
      <c r="T49" s="114">
        <v>1</v>
      </c>
      <c r="U49" s="114">
        <v>1</v>
      </c>
      <c r="V49" s="114">
        <v>1</v>
      </c>
      <c r="W49" s="115">
        <v>1</v>
      </c>
    </row>
    <row r="50" spans="1:23" x14ac:dyDescent="0.3">
      <c r="A50" s="96" t="s">
        <v>1130</v>
      </c>
      <c r="B50" s="94">
        <v>8061</v>
      </c>
      <c r="C50" s="94" t="s">
        <v>151</v>
      </c>
      <c r="D50" s="94" t="s">
        <v>1037</v>
      </c>
      <c r="E50" s="94" t="s">
        <v>993</v>
      </c>
      <c r="F50" s="94"/>
      <c r="G50" s="94" t="s">
        <v>952</v>
      </c>
      <c r="H50" s="103"/>
      <c r="I50" s="103">
        <v>45849</v>
      </c>
      <c r="J50" s="94"/>
      <c r="K50" s="94" t="s">
        <v>1114</v>
      </c>
      <c r="L50" s="103"/>
      <c r="M50" s="103">
        <v>45955</v>
      </c>
      <c r="N50" s="114"/>
      <c r="O50" s="114">
        <v>1</v>
      </c>
      <c r="P50" s="114">
        <v>1</v>
      </c>
      <c r="Q50" s="114">
        <v>1</v>
      </c>
      <c r="R50" s="114">
        <v>1</v>
      </c>
      <c r="S50" s="114">
        <v>1</v>
      </c>
      <c r="T50" s="114">
        <v>1</v>
      </c>
      <c r="U50" s="114">
        <v>1</v>
      </c>
      <c r="V50" s="114">
        <v>1</v>
      </c>
      <c r="W50" s="115">
        <v>1</v>
      </c>
    </row>
    <row r="51" spans="1:23" x14ac:dyDescent="0.3">
      <c r="A51" s="96" t="s">
        <v>1130</v>
      </c>
      <c r="B51" s="94">
        <v>8047</v>
      </c>
      <c r="C51" s="94" t="s">
        <v>150</v>
      </c>
      <c r="D51" s="94" t="s">
        <v>1061</v>
      </c>
      <c r="E51" s="94" t="s">
        <v>964</v>
      </c>
      <c r="F51" s="94" t="s">
        <v>1065</v>
      </c>
      <c r="G51" s="94" t="s">
        <v>1001</v>
      </c>
      <c r="H51" s="103"/>
      <c r="I51" s="103">
        <v>45937</v>
      </c>
      <c r="J51" s="94"/>
      <c r="K51" s="94" t="s">
        <v>1085</v>
      </c>
      <c r="L51" s="103"/>
      <c r="M51" s="103">
        <v>45926</v>
      </c>
      <c r="N51" s="114">
        <v>1</v>
      </c>
      <c r="O51" s="114">
        <v>1</v>
      </c>
      <c r="P51" s="114">
        <v>1</v>
      </c>
      <c r="Q51" s="114">
        <v>1</v>
      </c>
      <c r="R51" s="114">
        <v>1</v>
      </c>
      <c r="S51" s="114">
        <v>1</v>
      </c>
      <c r="T51" s="114">
        <v>1</v>
      </c>
      <c r="U51" s="114">
        <v>1</v>
      </c>
      <c r="V51" s="114">
        <v>1</v>
      </c>
      <c r="W51" s="115">
        <v>1</v>
      </c>
    </row>
    <row r="52" spans="1:23" x14ac:dyDescent="0.3">
      <c r="A52" s="96" t="s">
        <v>1130</v>
      </c>
      <c r="B52" s="94">
        <v>8441</v>
      </c>
      <c r="C52" s="94"/>
      <c r="D52" s="94" t="s">
        <v>1182</v>
      </c>
      <c r="E52" s="94"/>
      <c r="F52" s="94"/>
      <c r="G52" s="94" t="s">
        <v>1183</v>
      </c>
      <c r="H52" s="103"/>
      <c r="I52" s="103">
        <v>45957</v>
      </c>
      <c r="J52" s="94"/>
      <c r="K52" s="94" t="s">
        <v>1184</v>
      </c>
      <c r="L52" s="103"/>
      <c r="M52" s="103">
        <v>45956</v>
      </c>
      <c r="N52" s="114">
        <v>0</v>
      </c>
      <c r="O52" s="114">
        <v>1</v>
      </c>
      <c r="P52" s="114">
        <v>1</v>
      </c>
      <c r="Q52" s="114">
        <v>1</v>
      </c>
      <c r="R52" s="114">
        <v>1</v>
      </c>
      <c r="S52" s="114">
        <v>1</v>
      </c>
      <c r="T52" s="114">
        <v>1</v>
      </c>
      <c r="U52" s="114">
        <v>1</v>
      </c>
      <c r="V52" s="114">
        <v>1</v>
      </c>
      <c r="W52" s="115">
        <v>1</v>
      </c>
    </row>
    <row r="53" spans="1:23" x14ac:dyDescent="0.3">
      <c r="A53" s="96" t="s">
        <v>1130</v>
      </c>
      <c r="B53" s="94">
        <v>8442</v>
      </c>
      <c r="C53" s="94"/>
      <c r="D53" s="94" t="s">
        <v>1185</v>
      </c>
      <c r="E53" s="94"/>
      <c r="F53" s="94"/>
      <c r="G53" s="94" t="s">
        <v>1183</v>
      </c>
      <c r="H53" s="103"/>
      <c r="I53" s="103">
        <v>45957</v>
      </c>
      <c r="J53" s="94"/>
      <c r="K53" s="94" t="s">
        <v>1184</v>
      </c>
      <c r="L53" s="103"/>
      <c r="M53" s="103">
        <v>45956</v>
      </c>
      <c r="N53" s="114">
        <v>0</v>
      </c>
      <c r="O53" s="114">
        <v>1</v>
      </c>
      <c r="P53" s="114">
        <v>1</v>
      </c>
      <c r="Q53" s="114">
        <v>1</v>
      </c>
      <c r="R53" s="114">
        <v>1</v>
      </c>
      <c r="S53" s="114">
        <v>1</v>
      </c>
      <c r="T53" s="114">
        <v>1</v>
      </c>
      <c r="U53" s="114">
        <v>1</v>
      </c>
      <c r="V53" s="114">
        <v>1</v>
      </c>
      <c r="W53" s="115">
        <v>1</v>
      </c>
    </row>
    <row r="54" spans="1:23" x14ac:dyDescent="0.3">
      <c r="A54" s="96" t="s">
        <v>1130</v>
      </c>
      <c r="B54" s="94">
        <v>7864</v>
      </c>
      <c r="C54" s="94"/>
      <c r="D54" s="94" t="s">
        <v>1023</v>
      </c>
      <c r="E54" s="94" t="s">
        <v>964</v>
      </c>
      <c r="F54" s="94"/>
      <c r="G54" s="94"/>
      <c r="H54" s="103"/>
      <c r="I54" s="103"/>
      <c r="J54" s="94"/>
      <c r="K54" s="94"/>
      <c r="L54" s="103"/>
      <c r="M54" s="103"/>
      <c r="N54" s="114">
        <v>1</v>
      </c>
      <c r="O54" s="114">
        <v>1</v>
      </c>
      <c r="P54" s="114">
        <v>1</v>
      </c>
      <c r="Q54" s="114">
        <v>1</v>
      </c>
      <c r="R54" s="114">
        <v>1</v>
      </c>
      <c r="S54" s="114">
        <v>1</v>
      </c>
      <c r="T54" s="114"/>
      <c r="U54" s="114"/>
      <c r="V54" s="114"/>
      <c r="W54" s="115"/>
    </row>
    <row r="55" spans="1:23" x14ac:dyDescent="0.3">
      <c r="A55" s="96" t="s">
        <v>1130</v>
      </c>
      <c r="B55" s="94">
        <v>7846</v>
      </c>
      <c r="C55" s="94"/>
      <c r="D55" s="94" t="s">
        <v>1035</v>
      </c>
      <c r="E55" s="94" t="s">
        <v>964</v>
      </c>
      <c r="F55" s="94"/>
      <c r="G55" s="94"/>
      <c r="H55" s="103"/>
      <c r="I55" s="103"/>
      <c r="J55" s="94"/>
      <c r="K55" s="94"/>
      <c r="L55" s="103"/>
      <c r="M55" s="103"/>
      <c r="N55" s="114">
        <v>1</v>
      </c>
      <c r="O55" s="114">
        <v>1</v>
      </c>
      <c r="P55" s="114">
        <v>1</v>
      </c>
      <c r="Q55" s="114">
        <v>1</v>
      </c>
      <c r="R55" s="114">
        <v>1</v>
      </c>
      <c r="S55" s="114">
        <v>1</v>
      </c>
      <c r="T55" s="114"/>
      <c r="U55" s="114"/>
      <c r="V55" s="114"/>
      <c r="W55" s="115"/>
    </row>
    <row r="56" spans="1:23" x14ac:dyDescent="0.3">
      <c r="A56" s="96" t="s">
        <v>1130</v>
      </c>
      <c r="B56" s="94">
        <v>7856</v>
      </c>
      <c r="C56" s="94"/>
      <c r="D56" s="94" t="s">
        <v>1027</v>
      </c>
      <c r="E56" s="94" t="s">
        <v>964</v>
      </c>
      <c r="F56" s="94"/>
      <c r="G56" s="94"/>
      <c r="H56" s="103"/>
      <c r="I56" s="103"/>
      <c r="J56" s="94"/>
      <c r="K56" s="94"/>
      <c r="L56" s="103"/>
      <c r="M56" s="103"/>
      <c r="N56" s="114">
        <v>1</v>
      </c>
      <c r="O56" s="114">
        <v>1</v>
      </c>
      <c r="P56" s="114"/>
      <c r="Q56" s="114"/>
      <c r="R56" s="114"/>
      <c r="S56" s="114">
        <v>1</v>
      </c>
      <c r="T56" s="114"/>
      <c r="U56" s="114"/>
      <c r="V56" s="114"/>
      <c r="W56" s="115"/>
    </row>
    <row r="57" spans="1:23" x14ac:dyDescent="0.3">
      <c r="A57" s="96" t="s">
        <v>1169</v>
      </c>
      <c r="B57" s="94">
        <v>8181</v>
      </c>
      <c r="C57" s="94" t="s">
        <v>150</v>
      </c>
      <c r="D57" s="94" t="s">
        <v>1131</v>
      </c>
      <c r="E57" s="94" t="s">
        <v>1118</v>
      </c>
      <c r="F57" s="94"/>
      <c r="G57" s="94" t="s">
        <v>1119</v>
      </c>
      <c r="H57" s="103"/>
      <c r="I57" s="103">
        <v>45908</v>
      </c>
      <c r="J57" s="94"/>
      <c r="K57" s="94" t="s">
        <v>1095</v>
      </c>
      <c r="L57" s="103"/>
      <c r="M57" s="103">
        <v>45925</v>
      </c>
      <c r="N57" s="114"/>
      <c r="O57" s="114">
        <v>1</v>
      </c>
      <c r="P57" s="114">
        <v>1</v>
      </c>
      <c r="Q57" s="114">
        <v>1</v>
      </c>
      <c r="R57" s="114">
        <v>1</v>
      </c>
      <c r="S57" s="114">
        <v>1</v>
      </c>
      <c r="T57" s="114">
        <v>1</v>
      </c>
      <c r="U57" s="114">
        <v>1</v>
      </c>
      <c r="V57" s="114">
        <v>1</v>
      </c>
      <c r="W57" s="115">
        <v>1</v>
      </c>
    </row>
    <row r="58" spans="1:23" x14ac:dyDescent="0.3">
      <c r="A58" s="96" t="s">
        <v>1169</v>
      </c>
      <c r="B58" s="94">
        <v>8180</v>
      </c>
      <c r="C58" s="94" t="s">
        <v>150</v>
      </c>
      <c r="D58" s="94" t="s">
        <v>1132</v>
      </c>
      <c r="E58" s="94" t="s">
        <v>1118</v>
      </c>
      <c r="F58" s="94"/>
      <c r="G58" s="94" t="s">
        <v>1120</v>
      </c>
      <c r="H58" s="103"/>
      <c r="I58" s="103">
        <v>45905</v>
      </c>
      <c r="J58" s="94"/>
      <c r="K58" s="94" t="s">
        <v>1087</v>
      </c>
      <c r="L58" s="103"/>
      <c r="M58" s="103">
        <v>45928</v>
      </c>
      <c r="N58" s="114"/>
      <c r="O58" s="114">
        <v>1</v>
      </c>
      <c r="P58" s="114">
        <v>1</v>
      </c>
      <c r="Q58" s="114">
        <v>1</v>
      </c>
      <c r="R58" s="114">
        <v>1</v>
      </c>
      <c r="S58" s="114">
        <v>1</v>
      </c>
      <c r="T58" s="114">
        <v>1</v>
      </c>
      <c r="U58" s="114">
        <v>1</v>
      </c>
      <c r="V58" s="114">
        <v>1</v>
      </c>
      <c r="W58" s="115">
        <v>1</v>
      </c>
    </row>
    <row r="59" spans="1:23" x14ac:dyDescent="0.3">
      <c r="A59" s="96" t="s">
        <v>1169</v>
      </c>
      <c r="B59" s="94">
        <v>8488</v>
      </c>
      <c r="C59" s="94" t="s">
        <v>150</v>
      </c>
      <c r="D59" s="94" t="s">
        <v>1133</v>
      </c>
      <c r="E59" s="94" t="s">
        <v>1118</v>
      </c>
      <c r="F59" s="94"/>
      <c r="G59" s="94" t="s">
        <v>1077</v>
      </c>
      <c r="H59" s="103"/>
      <c r="I59" s="103">
        <v>45927</v>
      </c>
      <c r="J59" s="94"/>
      <c r="K59" s="94" t="s">
        <v>1077</v>
      </c>
      <c r="L59" s="103"/>
      <c r="M59" s="103">
        <v>45927</v>
      </c>
      <c r="N59" s="114"/>
      <c r="O59" s="114">
        <v>1</v>
      </c>
      <c r="P59" s="114">
        <v>1</v>
      </c>
      <c r="Q59" s="114">
        <v>1</v>
      </c>
      <c r="R59" s="114">
        <v>1</v>
      </c>
      <c r="S59" s="114">
        <v>1</v>
      </c>
      <c r="T59" s="114">
        <v>1</v>
      </c>
      <c r="U59" s="114">
        <v>1</v>
      </c>
      <c r="V59" s="114">
        <v>1</v>
      </c>
      <c r="W59" s="115">
        <v>1</v>
      </c>
    </row>
    <row r="60" spans="1:23" x14ac:dyDescent="0.3">
      <c r="A60" s="96" t="s">
        <v>1169</v>
      </c>
      <c r="B60" s="94">
        <v>8163</v>
      </c>
      <c r="C60" s="94" t="s">
        <v>150</v>
      </c>
      <c r="D60" s="94" t="s">
        <v>1134</v>
      </c>
      <c r="E60" s="94" t="s">
        <v>1118</v>
      </c>
      <c r="F60" s="94"/>
      <c r="G60" s="94" t="s">
        <v>1119</v>
      </c>
      <c r="H60" s="103"/>
      <c r="I60" s="103">
        <v>45908</v>
      </c>
      <c r="J60" s="94"/>
      <c r="K60" s="94" t="s">
        <v>1085</v>
      </c>
      <c r="L60" s="103"/>
      <c r="M60" s="103">
        <v>45926</v>
      </c>
      <c r="N60" s="114"/>
      <c r="O60" s="114">
        <v>1</v>
      </c>
      <c r="P60" s="114">
        <v>1</v>
      </c>
      <c r="Q60" s="114">
        <v>1</v>
      </c>
      <c r="R60" s="114">
        <v>1</v>
      </c>
      <c r="S60" s="114">
        <v>1</v>
      </c>
      <c r="T60" s="114">
        <v>1</v>
      </c>
      <c r="U60" s="114">
        <v>1</v>
      </c>
      <c r="V60" s="114">
        <v>1</v>
      </c>
      <c r="W60" s="115">
        <v>1</v>
      </c>
    </row>
    <row r="61" spans="1:23" x14ac:dyDescent="0.3">
      <c r="A61" s="96" t="s">
        <v>1169</v>
      </c>
      <c r="B61" s="94">
        <v>8182</v>
      </c>
      <c r="C61" s="94" t="s">
        <v>150</v>
      </c>
      <c r="D61" s="94" t="s">
        <v>1135</v>
      </c>
      <c r="E61" s="94" t="s">
        <v>964</v>
      </c>
      <c r="F61" s="94" t="s">
        <v>1093</v>
      </c>
      <c r="G61" s="94" t="s">
        <v>1018</v>
      </c>
      <c r="H61" s="103">
        <v>45881</v>
      </c>
      <c r="I61" s="103">
        <v>45921</v>
      </c>
      <c r="J61" s="94" t="s">
        <v>1093</v>
      </c>
      <c r="K61" s="94" t="s">
        <v>1091</v>
      </c>
      <c r="L61" s="103">
        <v>45881</v>
      </c>
      <c r="M61" s="103">
        <v>45919</v>
      </c>
      <c r="N61" s="114">
        <v>1</v>
      </c>
      <c r="O61" s="114">
        <v>1</v>
      </c>
      <c r="P61" s="114">
        <v>1</v>
      </c>
      <c r="Q61" s="114">
        <v>1</v>
      </c>
      <c r="R61" s="114">
        <v>1</v>
      </c>
      <c r="S61" s="114">
        <v>1</v>
      </c>
      <c r="T61" s="114">
        <v>1</v>
      </c>
      <c r="U61" s="114">
        <v>1</v>
      </c>
      <c r="V61" s="114">
        <v>1</v>
      </c>
      <c r="W61" s="115">
        <v>1</v>
      </c>
    </row>
    <row r="62" spans="1:23" x14ac:dyDescent="0.3">
      <c r="A62" s="96" t="s">
        <v>1169</v>
      </c>
      <c r="B62" s="94">
        <v>8175</v>
      </c>
      <c r="C62" s="94" t="s">
        <v>150</v>
      </c>
      <c r="D62" s="94" t="s">
        <v>1136</v>
      </c>
      <c r="E62" s="94" t="s">
        <v>964</v>
      </c>
      <c r="F62" s="94" t="s">
        <v>1121</v>
      </c>
      <c r="G62" s="94" t="s">
        <v>1018</v>
      </c>
      <c r="H62" s="103">
        <v>45878</v>
      </c>
      <c r="I62" s="103">
        <v>45921</v>
      </c>
      <c r="J62" s="94" t="s">
        <v>1121</v>
      </c>
      <c r="K62" s="94" t="s">
        <v>1000</v>
      </c>
      <c r="L62" s="103">
        <v>45878</v>
      </c>
      <c r="M62" s="103">
        <v>45894</v>
      </c>
      <c r="N62" s="114">
        <v>1</v>
      </c>
      <c r="O62" s="114">
        <v>1</v>
      </c>
      <c r="P62" s="114">
        <v>1</v>
      </c>
      <c r="Q62" s="114">
        <v>1</v>
      </c>
      <c r="R62" s="114">
        <v>1</v>
      </c>
      <c r="S62" s="114">
        <v>1</v>
      </c>
      <c r="T62" s="114">
        <v>1</v>
      </c>
      <c r="U62" s="114">
        <v>1</v>
      </c>
      <c r="V62" s="114">
        <v>1</v>
      </c>
      <c r="W62" s="115">
        <v>1</v>
      </c>
    </row>
    <row r="63" spans="1:23" x14ac:dyDescent="0.3">
      <c r="A63" s="96" t="s">
        <v>1169</v>
      </c>
      <c r="B63" s="94">
        <v>8388</v>
      </c>
      <c r="C63" s="94" t="s">
        <v>150</v>
      </c>
      <c r="D63" s="94" t="s">
        <v>1137</v>
      </c>
      <c r="E63" s="94" t="s">
        <v>1118</v>
      </c>
      <c r="F63" s="94"/>
      <c r="G63" s="94" t="s">
        <v>1066</v>
      </c>
      <c r="H63" s="103"/>
      <c r="I63" s="103">
        <v>45913</v>
      </c>
      <c r="J63" s="94"/>
      <c r="K63" s="94" t="s">
        <v>1091</v>
      </c>
      <c r="L63" s="103"/>
      <c r="M63" s="103">
        <v>45919</v>
      </c>
      <c r="N63" s="114"/>
      <c r="O63" s="114">
        <v>1</v>
      </c>
      <c r="P63" s="114">
        <v>1</v>
      </c>
      <c r="Q63" s="114">
        <v>1</v>
      </c>
      <c r="R63" s="114">
        <v>1</v>
      </c>
      <c r="S63" s="114">
        <v>1</v>
      </c>
      <c r="T63" s="114">
        <v>1</v>
      </c>
      <c r="U63" s="114">
        <v>1</v>
      </c>
      <c r="V63" s="114">
        <v>1</v>
      </c>
      <c r="W63" s="115">
        <v>1</v>
      </c>
    </row>
    <row r="64" spans="1:23" x14ac:dyDescent="0.3">
      <c r="A64" s="96" t="s">
        <v>1169</v>
      </c>
      <c r="B64" s="94">
        <v>8178</v>
      </c>
      <c r="C64" s="94" t="s">
        <v>150</v>
      </c>
      <c r="D64" s="94" t="s">
        <v>1138</v>
      </c>
      <c r="E64" s="94" t="s">
        <v>1118</v>
      </c>
      <c r="F64" s="94"/>
      <c r="G64" s="94" t="s">
        <v>1119</v>
      </c>
      <c r="H64" s="103"/>
      <c r="I64" s="103">
        <v>45908</v>
      </c>
      <c r="J64" s="94"/>
      <c r="K64" s="94" t="s">
        <v>1084</v>
      </c>
      <c r="L64" s="103"/>
      <c r="M64" s="103">
        <v>45910</v>
      </c>
      <c r="N64" s="114"/>
      <c r="O64" s="114">
        <v>1</v>
      </c>
      <c r="P64" s="114">
        <v>1</v>
      </c>
      <c r="Q64" s="114">
        <v>1</v>
      </c>
      <c r="R64" s="114">
        <v>1</v>
      </c>
      <c r="S64" s="114">
        <v>1</v>
      </c>
      <c r="T64" s="114">
        <v>1</v>
      </c>
      <c r="U64" s="114">
        <v>1</v>
      </c>
      <c r="V64" s="114">
        <v>1</v>
      </c>
      <c r="W64" s="115">
        <v>1</v>
      </c>
    </row>
    <row r="65" spans="1:23" x14ac:dyDescent="0.3">
      <c r="A65" s="96" t="s">
        <v>1169</v>
      </c>
      <c r="B65" s="94">
        <v>8492</v>
      </c>
      <c r="C65" s="94" t="s">
        <v>150</v>
      </c>
      <c r="D65" s="94" t="s">
        <v>1139</v>
      </c>
      <c r="E65" s="94" t="s">
        <v>1118</v>
      </c>
      <c r="F65" s="94"/>
      <c r="G65" s="94" t="s">
        <v>1077</v>
      </c>
      <c r="H65" s="103"/>
      <c r="I65" s="103">
        <v>45927</v>
      </c>
      <c r="J65" s="94"/>
      <c r="K65" s="94" t="s">
        <v>1077</v>
      </c>
      <c r="L65" s="103"/>
      <c r="M65" s="103">
        <v>45927</v>
      </c>
      <c r="N65" s="114"/>
      <c r="O65" s="114">
        <v>1</v>
      </c>
      <c r="P65" s="114">
        <v>1</v>
      </c>
      <c r="Q65" s="114">
        <v>1</v>
      </c>
      <c r="R65" s="114">
        <v>1</v>
      </c>
      <c r="S65" s="114">
        <v>1</v>
      </c>
      <c r="T65" s="114">
        <v>1</v>
      </c>
      <c r="U65" s="114">
        <v>1</v>
      </c>
      <c r="V65" s="114">
        <v>1</v>
      </c>
      <c r="W65" s="115">
        <v>1</v>
      </c>
    </row>
    <row r="66" spans="1:23" x14ac:dyDescent="0.3">
      <c r="A66" s="96" t="s">
        <v>1169</v>
      </c>
      <c r="B66" s="94">
        <v>8493</v>
      </c>
      <c r="C66" s="94" t="s">
        <v>150</v>
      </c>
      <c r="D66" s="94" t="s">
        <v>1140</v>
      </c>
      <c r="E66" s="94" t="s">
        <v>1118</v>
      </c>
      <c r="F66" s="94"/>
      <c r="G66" s="94" t="s">
        <v>1077</v>
      </c>
      <c r="H66" s="103"/>
      <c r="I66" s="103">
        <v>45927</v>
      </c>
      <c r="J66" s="94"/>
      <c r="K66" s="94" t="s">
        <v>1077</v>
      </c>
      <c r="L66" s="103"/>
      <c r="M66" s="103">
        <v>45927</v>
      </c>
      <c r="N66" s="114"/>
      <c r="O66" s="114">
        <v>1</v>
      </c>
      <c r="P66" s="114">
        <v>1</v>
      </c>
      <c r="Q66" s="114">
        <v>1</v>
      </c>
      <c r="R66" s="114">
        <v>1</v>
      </c>
      <c r="S66" s="114">
        <v>1</v>
      </c>
      <c r="T66" s="114">
        <v>1</v>
      </c>
      <c r="U66" s="114">
        <v>1</v>
      </c>
      <c r="V66" s="114">
        <v>1</v>
      </c>
      <c r="W66" s="115">
        <v>1</v>
      </c>
    </row>
    <row r="67" spans="1:23" x14ac:dyDescent="0.3">
      <c r="A67" s="96" t="s">
        <v>1169</v>
      </c>
      <c r="B67" s="94">
        <v>8161</v>
      </c>
      <c r="C67" s="94" t="s">
        <v>150</v>
      </c>
      <c r="D67" s="94" t="s">
        <v>1141</v>
      </c>
      <c r="E67" s="94" t="s">
        <v>1118</v>
      </c>
      <c r="F67" s="94"/>
      <c r="G67" s="94" t="s">
        <v>1100</v>
      </c>
      <c r="H67" s="103"/>
      <c r="I67" s="103">
        <v>45911</v>
      </c>
      <c r="J67" s="94"/>
      <c r="K67" s="94" t="s">
        <v>1084</v>
      </c>
      <c r="L67" s="103"/>
      <c r="M67" s="103">
        <v>45910</v>
      </c>
      <c r="N67" s="114"/>
      <c r="O67" s="114">
        <v>1</v>
      </c>
      <c r="P67" s="114">
        <v>1</v>
      </c>
      <c r="Q67" s="114">
        <v>1</v>
      </c>
      <c r="R67" s="114">
        <v>1</v>
      </c>
      <c r="S67" s="114">
        <v>1</v>
      </c>
      <c r="T67" s="114">
        <v>1</v>
      </c>
      <c r="U67" s="114">
        <v>1</v>
      </c>
      <c r="V67" s="114">
        <v>1</v>
      </c>
      <c r="W67" s="115">
        <v>1</v>
      </c>
    </row>
    <row r="68" spans="1:23" x14ac:dyDescent="0.3">
      <c r="A68" s="96" t="s">
        <v>1169</v>
      </c>
      <c r="B68" s="94">
        <v>8158</v>
      </c>
      <c r="C68" s="94" t="s">
        <v>150</v>
      </c>
      <c r="D68" s="94" t="s">
        <v>1142</v>
      </c>
      <c r="E68" s="94" t="s">
        <v>1118</v>
      </c>
      <c r="F68" s="94"/>
      <c r="G68" s="94" t="s">
        <v>1119</v>
      </c>
      <c r="H68" s="103"/>
      <c r="I68" s="103">
        <v>45908</v>
      </c>
      <c r="J68" s="94"/>
      <c r="K68" s="94" t="s">
        <v>1084</v>
      </c>
      <c r="L68" s="103"/>
      <c r="M68" s="103">
        <v>45910</v>
      </c>
      <c r="N68" s="114"/>
      <c r="O68" s="114">
        <v>1</v>
      </c>
      <c r="P68" s="114">
        <v>1</v>
      </c>
      <c r="Q68" s="114">
        <v>1</v>
      </c>
      <c r="R68" s="114">
        <v>1</v>
      </c>
      <c r="S68" s="114">
        <v>1</v>
      </c>
      <c r="T68" s="114">
        <v>1</v>
      </c>
      <c r="U68" s="114">
        <v>1</v>
      </c>
      <c r="V68" s="114">
        <v>1</v>
      </c>
      <c r="W68" s="115">
        <v>1</v>
      </c>
    </row>
    <row r="69" spans="1:23" x14ac:dyDescent="0.3">
      <c r="A69" s="96" t="s">
        <v>1169</v>
      </c>
      <c r="B69" s="94">
        <v>8179</v>
      </c>
      <c r="C69" s="94" t="s">
        <v>150</v>
      </c>
      <c r="D69" s="94" t="s">
        <v>1143</v>
      </c>
      <c r="E69" s="94" t="s">
        <v>964</v>
      </c>
      <c r="F69" s="94" t="s">
        <v>953</v>
      </c>
      <c r="G69" s="94" t="s">
        <v>1001</v>
      </c>
      <c r="H69" s="103">
        <v>45885</v>
      </c>
      <c r="I69" s="103">
        <v>45937</v>
      </c>
      <c r="J69" s="94" t="s">
        <v>953</v>
      </c>
      <c r="K69" s="94" t="s">
        <v>1085</v>
      </c>
      <c r="L69" s="103">
        <v>45885</v>
      </c>
      <c r="M69" s="103">
        <v>45926</v>
      </c>
      <c r="N69" s="114">
        <v>1</v>
      </c>
      <c r="O69" s="114">
        <v>1</v>
      </c>
      <c r="P69" s="114">
        <v>1</v>
      </c>
      <c r="Q69" s="114">
        <v>1</v>
      </c>
      <c r="R69" s="114">
        <v>1</v>
      </c>
      <c r="S69" s="114">
        <v>1</v>
      </c>
      <c r="T69" s="114">
        <v>1</v>
      </c>
      <c r="U69" s="114">
        <v>1</v>
      </c>
      <c r="V69" s="114">
        <v>1</v>
      </c>
      <c r="W69" s="115">
        <v>1</v>
      </c>
    </row>
    <row r="70" spans="1:23" x14ac:dyDescent="0.3">
      <c r="A70" s="96" t="s">
        <v>1169</v>
      </c>
      <c r="B70" s="94">
        <v>8155</v>
      </c>
      <c r="C70" s="94" t="s">
        <v>150</v>
      </c>
      <c r="D70" s="94" t="s">
        <v>1144</v>
      </c>
      <c r="E70" s="94" t="s">
        <v>964</v>
      </c>
      <c r="F70" s="94" t="s">
        <v>1122</v>
      </c>
      <c r="G70" s="94" t="s">
        <v>1100</v>
      </c>
      <c r="H70" s="103">
        <v>45871</v>
      </c>
      <c r="I70" s="103">
        <v>45911</v>
      </c>
      <c r="J70" s="94" t="s">
        <v>1122</v>
      </c>
      <c r="K70" s="94" t="s">
        <v>1101</v>
      </c>
      <c r="L70" s="103">
        <v>45871</v>
      </c>
      <c r="M70" s="103">
        <v>45929</v>
      </c>
      <c r="N70" s="114">
        <v>1</v>
      </c>
      <c r="O70" s="114">
        <v>1</v>
      </c>
      <c r="P70" s="114">
        <v>1</v>
      </c>
      <c r="Q70" s="114">
        <v>1</v>
      </c>
      <c r="R70" s="114">
        <v>1</v>
      </c>
      <c r="S70" s="114">
        <v>1</v>
      </c>
      <c r="T70" s="114">
        <v>1</v>
      </c>
      <c r="U70" s="114">
        <v>1</v>
      </c>
      <c r="V70" s="114">
        <v>1</v>
      </c>
      <c r="W70" s="115">
        <v>1</v>
      </c>
    </row>
    <row r="71" spans="1:23" x14ac:dyDescent="0.3">
      <c r="A71" s="96" t="s">
        <v>1169</v>
      </c>
      <c r="B71" s="94">
        <v>7821</v>
      </c>
      <c r="C71" s="94" t="s">
        <v>150</v>
      </c>
      <c r="D71" s="94" t="s">
        <v>1145</v>
      </c>
      <c r="E71" s="94" t="s">
        <v>964</v>
      </c>
      <c r="F71" s="94"/>
      <c r="G71" s="94" t="s">
        <v>1097</v>
      </c>
      <c r="H71" s="103"/>
      <c r="I71" s="103">
        <v>45932</v>
      </c>
      <c r="J71" s="94"/>
      <c r="K71" s="94" t="s">
        <v>1085</v>
      </c>
      <c r="L71" s="103"/>
      <c r="M71" s="103">
        <v>45926</v>
      </c>
      <c r="N71" s="114">
        <v>1</v>
      </c>
      <c r="O71" s="114">
        <v>1</v>
      </c>
      <c r="P71" s="114">
        <v>1</v>
      </c>
      <c r="Q71" s="114">
        <v>1</v>
      </c>
      <c r="R71" s="114">
        <v>1</v>
      </c>
      <c r="S71" s="114">
        <v>1</v>
      </c>
      <c r="T71" s="114">
        <v>1</v>
      </c>
      <c r="U71" s="114">
        <v>1</v>
      </c>
      <c r="V71" s="114">
        <v>1</v>
      </c>
      <c r="W71" s="115">
        <v>1</v>
      </c>
    </row>
    <row r="72" spans="1:23" x14ac:dyDescent="0.3">
      <c r="A72" s="96" t="s">
        <v>1169</v>
      </c>
      <c r="B72" s="94">
        <v>8149</v>
      </c>
      <c r="C72" s="94" t="s">
        <v>150</v>
      </c>
      <c r="D72" s="94" t="s">
        <v>1146</v>
      </c>
      <c r="E72" s="94" t="s">
        <v>1118</v>
      </c>
      <c r="F72" s="94"/>
      <c r="G72" s="94" t="s">
        <v>1065</v>
      </c>
      <c r="H72" s="103"/>
      <c r="I72" s="103">
        <v>45906</v>
      </c>
      <c r="J72" s="94"/>
      <c r="K72" s="94" t="s">
        <v>1085</v>
      </c>
      <c r="L72" s="103"/>
      <c r="M72" s="103">
        <v>45926</v>
      </c>
      <c r="N72" s="114"/>
      <c r="O72" s="114">
        <v>1</v>
      </c>
      <c r="P72" s="114">
        <v>1</v>
      </c>
      <c r="Q72" s="114">
        <v>1</v>
      </c>
      <c r="R72" s="114">
        <v>1</v>
      </c>
      <c r="S72" s="114">
        <v>1</v>
      </c>
      <c r="T72" s="114">
        <v>1</v>
      </c>
      <c r="U72" s="114">
        <v>1</v>
      </c>
      <c r="V72" s="114">
        <v>1</v>
      </c>
      <c r="W72" s="115">
        <v>1</v>
      </c>
    </row>
    <row r="73" spans="1:23" x14ac:dyDescent="0.3">
      <c r="A73" s="96" t="s">
        <v>1169</v>
      </c>
      <c r="B73" s="94">
        <v>8153</v>
      </c>
      <c r="C73" s="94" t="s">
        <v>150</v>
      </c>
      <c r="D73" s="94" t="s">
        <v>1147</v>
      </c>
      <c r="E73" s="94" t="s">
        <v>1118</v>
      </c>
      <c r="F73" s="94"/>
      <c r="G73" s="94" t="s">
        <v>1065</v>
      </c>
      <c r="H73" s="103"/>
      <c r="I73" s="103">
        <v>45906</v>
      </c>
      <c r="J73" s="94"/>
      <c r="K73" s="94" t="s">
        <v>1087</v>
      </c>
      <c r="L73" s="103"/>
      <c r="M73" s="103">
        <v>45928</v>
      </c>
      <c r="N73" s="114"/>
      <c r="O73" s="114">
        <v>1</v>
      </c>
      <c r="P73" s="114">
        <v>1</v>
      </c>
      <c r="Q73" s="114">
        <v>1</v>
      </c>
      <c r="R73" s="114">
        <v>1</v>
      </c>
      <c r="S73" s="114">
        <v>1</v>
      </c>
      <c r="T73" s="114">
        <v>1</v>
      </c>
      <c r="U73" s="114">
        <v>1</v>
      </c>
      <c r="V73" s="114">
        <v>1</v>
      </c>
      <c r="W73" s="115">
        <v>1</v>
      </c>
    </row>
    <row r="74" spans="1:23" x14ac:dyDescent="0.3">
      <c r="A74" s="96" t="s">
        <v>1169</v>
      </c>
      <c r="B74" s="94">
        <v>8173</v>
      </c>
      <c r="C74" s="94" t="s">
        <v>150</v>
      </c>
      <c r="D74" s="94" t="s">
        <v>1148</v>
      </c>
      <c r="E74" s="94" t="s">
        <v>1118</v>
      </c>
      <c r="F74" s="94"/>
      <c r="G74" s="94" t="s">
        <v>1065</v>
      </c>
      <c r="H74" s="103"/>
      <c r="I74" s="103">
        <v>45906</v>
      </c>
      <c r="J74" s="94"/>
      <c r="K74" s="94" t="s">
        <v>1084</v>
      </c>
      <c r="L74" s="103"/>
      <c r="M74" s="103">
        <v>45910</v>
      </c>
      <c r="N74" s="114"/>
      <c r="O74" s="114">
        <v>1</v>
      </c>
      <c r="P74" s="114">
        <v>1</v>
      </c>
      <c r="Q74" s="114">
        <v>1</v>
      </c>
      <c r="R74" s="114">
        <v>1</v>
      </c>
      <c r="S74" s="114">
        <v>1</v>
      </c>
      <c r="T74" s="114">
        <v>1</v>
      </c>
      <c r="U74" s="114">
        <v>1</v>
      </c>
      <c r="V74" s="114">
        <v>1</v>
      </c>
      <c r="W74" s="115">
        <v>1</v>
      </c>
    </row>
    <row r="75" spans="1:23" x14ac:dyDescent="0.3">
      <c r="A75" s="96" t="s">
        <v>1169</v>
      </c>
      <c r="B75" s="94">
        <v>8176</v>
      </c>
      <c r="C75" s="94" t="s">
        <v>150</v>
      </c>
      <c r="D75" s="94" t="s">
        <v>1149</v>
      </c>
      <c r="E75" s="94" t="s">
        <v>1118</v>
      </c>
      <c r="F75" s="94"/>
      <c r="G75" s="94" t="s">
        <v>1065</v>
      </c>
      <c r="H75" s="103"/>
      <c r="I75" s="103">
        <v>45906</v>
      </c>
      <c r="J75" s="94"/>
      <c r="K75" s="94" t="s">
        <v>1085</v>
      </c>
      <c r="L75" s="103"/>
      <c r="M75" s="103">
        <v>45926</v>
      </c>
      <c r="N75" s="114"/>
      <c r="O75" s="114">
        <v>1</v>
      </c>
      <c r="P75" s="114">
        <v>1</v>
      </c>
      <c r="Q75" s="114">
        <v>1</v>
      </c>
      <c r="R75" s="114">
        <v>1</v>
      </c>
      <c r="S75" s="114">
        <v>1</v>
      </c>
      <c r="T75" s="114">
        <v>1</v>
      </c>
      <c r="U75" s="114">
        <v>1</v>
      </c>
      <c r="V75" s="114">
        <v>1</v>
      </c>
      <c r="W75" s="115">
        <v>1</v>
      </c>
    </row>
    <row r="76" spans="1:23" x14ac:dyDescent="0.3">
      <c r="A76" s="96" t="s">
        <v>1169</v>
      </c>
      <c r="B76" s="94">
        <v>8148</v>
      </c>
      <c r="C76" s="94" t="s">
        <v>150</v>
      </c>
      <c r="D76" s="94" t="s">
        <v>1150</v>
      </c>
      <c r="E76" s="94" t="s">
        <v>964</v>
      </c>
      <c r="F76" s="94" t="s">
        <v>987</v>
      </c>
      <c r="G76" s="94" t="s">
        <v>1100</v>
      </c>
      <c r="H76" s="103">
        <v>45875</v>
      </c>
      <c r="I76" s="103">
        <v>45911</v>
      </c>
      <c r="J76" s="94" t="s">
        <v>987</v>
      </c>
      <c r="K76" s="94" t="s">
        <v>1091</v>
      </c>
      <c r="L76" s="103">
        <v>45875</v>
      </c>
      <c r="M76" s="103">
        <v>45919</v>
      </c>
      <c r="N76" s="114">
        <v>1</v>
      </c>
      <c r="O76" s="114">
        <v>1</v>
      </c>
      <c r="P76" s="114">
        <v>1</v>
      </c>
      <c r="Q76" s="114">
        <v>1</v>
      </c>
      <c r="R76" s="114">
        <v>1</v>
      </c>
      <c r="S76" s="114">
        <v>1</v>
      </c>
      <c r="T76" s="114">
        <v>1</v>
      </c>
      <c r="U76" s="114">
        <v>1</v>
      </c>
      <c r="V76" s="114">
        <v>1</v>
      </c>
      <c r="W76" s="115">
        <v>1</v>
      </c>
    </row>
    <row r="77" spans="1:23" x14ac:dyDescent="0.3">
      <c r="A77" s="96" t="s">
        <v>1169</v>
      </c>
      <c r="B77" s="94">
        <v>8325</v>
      </c>
      <c r="C77" s="94" t="s">
        <v>150</v>
      </c>
      <c r="D77" s="94" t="s">
        <v>1151</v>
      </c>
      <c r="E77" s="94" t="s">
        <v>1118</v>
      </c>
      <c r="F77" s="94"/>
      <c r="G77" s="94" t="s">
        <v>1016</v>
      </c>
      <c r="H77" s="103"/>
      <c r="I77" s="103">
        <v>45916</v>
      </c>
      <c r="J77" s="94"/>
      <c r="K77" s="94" t="s">
        <v>1091</v>
      </c>
      <c r="L77" s="103"/>
      <c r="M77" s="103">
        <v>45919</v>
      </c>
      <c r="N77" s="114"/>
      <c r="O77" s="114">
        <v>1</v>
      </c>
      <c r="P77" s="114">
        <v>1</v>
      </c>
      <c r="Q77" s="114">
        <v>1</v>
      </c>
      <c r="R77" s="114">
        <v>1</v>
      </c>
      <c r="S77" s="114">
        <v>1</v>
      </c>
      <c r="T77" s="114">
        <v>1</v>
      </c>
      <c r="U77" s="114">
        <v>1</v>
      </c>
      <c r="V77" s="114">
        <v>1</v>
      </c>
      <c r="W77" s="115">
        <v>1</v>
      </c>
    </row>
    <row r="78" spans="1:23" x14ac:dyDescent="0.3">
      <c r="A78" s="96" t="s">
        <v>1169</v>
      </c>
      <c r="B78" s="94">
        <v>8323</v>
      </c>
      <c r="C78" s="94" t="s">
        <v>150</v>
      </c>
      <c r="D78" s="94" t="s">
        <v>1152</v>
      </c>
      <c r="E78" s="94" t="s">
        <v>1118</v>
      </c>
      <c r="F78" s="94"/>
      <c r="G78" s="94" t="s">
        <v>1100</v>
      </c>
      <c r="H78" s="103"/>
      <c r="I78" s="103">
        <v>45911</v>
      </c>
      <c r="J78" s="94"/>
      <c r="K78" s="94" t="s">
        <v>1084</v>
      </c>
      <c r="L78" s="103"/>
      <c r="M78" s="103">
        <v>45910</v>
      </c>
      <c r="N78" s="114"/>
      <c r="O78" s="114">
        <v>1</v>
      </c>
      <c r="P78" s="114">
        <v>1</v>
      </c>
      <c r="Q78" s="114">
        <v>1</v>
      </c>
      <c r="R78" s="114">
        <v>1</v>
      </c>
      <c r="S78" s="114">
        <v>1</v>
      </c>
      <c r="T78" s="114">
        <v>1</v>
      </c>
      <c r="U78" s="114">
        <v>1</v>
      </c>
      <c r="V78" s="114">
        <v>1</v>
      </c>
      <c r="W78" s="115">
        <v>1</v>
      </c>
    </row>
    <row r="79" spans="1:23" x14ac:dyDescent="0.3">
      <c r="A79" s="96" t="s">
        <v>1169</v>
      </c>
      <c r="B79" s="94">
        <v>8327</v>
      </c>
      <c r="C79" s="94" t="s">
        <v>150</v>
      </c>
      <c r="D79" s="94" t="s">
        <v>1153</v>
      </c>
      <c r="E79" s="94" t="s">
        <v>1118</v>
      </c>
      <c r="F79" s="94"/>
      <c r="G79" s="94" t="s">
        <v>1089</v>
      </c>
      <c r="H79" s="103"/>
      <c r="I79" s="103">
        <v>45942</v>
      </c>
      <c r="J79" s="94"/>
      <c r="K79" s="94" t="s">
        <v>1091</v>
      </c>
      <c r="L79" s="103"/>
      <c r="M79" s="103">
        <v>45919</v>
      </c>
      <c r="N79" s="114"/>
      <c r="O79" s="114">
        <v>1</v>
      </c>
      <c r="P79" s="114">
        <v>1</v>
      </c>
      <c r="Q79" s="114">
        <v>1</v>
      </c>
      <c r="R79" s="114">
        <v>1</v>
      </c>
      <c r="S79" s="114">
        <v>1</v>
      </c>
      <c r="T79" s="114">
        <v>1</v>
      </c>
      <c r="U79" s="114">
        <v>1</v>
      </c>
      <c r="V79" s="114">
        <v>1</v>
      </c>
      <c r="W79" s="115">
        <v>1</v>
      </c>
    </row>
    <row r="80" spans="1:23" x14ac:dyDescent="0.3">
      <c r="A80" s="96" t="s">
        <v>1169</v>
      </c>
      <c r="B80" s="94">
        <v>8177</v>
      </c>
      <c r="C80" s="94" t="s">
        <v>150</v>
      </c>
      <c r="D80" s="94" t="s">
        <v>1154</v>
      </c>
      <c r="E80" s="94" t="s">
        <v>964</v>
      </c>
      <c r="F80" s="94" t="s">
        <v>1083</v>
      </c>
      <c r="G80" s="94" t="s">
        <v>1016</v>
      </c>
      <c r="H80" s="103">
        <v>45909</v>
      </c>
      <c r="I80" s="103">
        <v>45916</v>
      </c>
      <c r="J80" s="94" t="s">
        <v>1083</v>
      </c>
      <c r="K80" s="94" t="s">
        <v>1091</v>
      </c>
      <c r="L80" s="103">
        <v>45909</v>
      </c>
      <c r="M80" s="103">
        <v>45919</v>
      </c>
      <c r="N80" s="114">
        <v>1</v>
      </c>
      <c r="O80" s="114">
        <v>1</v>
      </c>
      <c r="P80" s="114">
        <v>1</v>
      </c>
      <c r="Q80" s="114">
        <v>1</v>
      </c>
      <c r="R80" s="114">
        <v>1</v>
      </c>
      <c r="S80" s="114">
        <v>1</v>
      </c>
      <c r="T80" s="114">
        <v>1</v>
      </c>
      <c r="U80" s="114">
        <v>1</v>
      </c>
      <c r="V80" s="114">
        <v>1</v>
      </c>
      <c r="W80" s="115">
        <v>1</v>
      </c>
    </row>
    <row r="81" spans="1:23" x14ac:dyDescent="0.3">
      <c r="A81" s="96" t="s">
        <v>1169</v>
      </c>
      <c r="B81" s="94">
        <v>8448</v>
      </c>
      <c r="C81" s="94" t="s">
        <v>150</v>
      </c>
      <c r="D81" s="94" t="s">
        <v>1155</v>
      </c>
      <c r="E81" s="94" t="s">
        <v>1118</v>
      </c>
      <c r="F81" s="94"/>
      <c r="G81" s="94" t="s">
        <v>1077</v>
      </c>
      <c r="H81" s="103"/>
      <c r="I81" s="103">
        <v>45927</v>
      </c>
      <c r="J81" s="94"/>
      <c r="K81" s="94" t="s">
        <v>1077</v>
      </c>
      <c r="L81" s="103"/>
      <c r="M81" s="103">
        <v>45927</v>
      </c>
      <c r="N81" s="114"/>
      <c r="O81" s="114">
        <v>1</v>
      </c>
      <c r="P81" s="114">
        <v>1</v>
      </c>
      <c r="Q81" s="114">
        <v>1</v>
      </c>
      <c r="R81" s="114">
        <v>1</v>
      </c>
      <c r="S81" s="114">
        <v>1</v>
      </c>
      <c r="T81" s="114">
        <v>1</v>
      </c>
      <c r="U81" s="114">
        <v>1</v>
      </c>
      <c r="V81" s="114">
        <v>1</v>
      </c>
      <c r="W81" s="115">
        <v>1</v>
      </c>
    </row>
    <row r="82" spans="1:23" x14ac:dyDescent="0.3">
      <c r="A82" s="96" t="s">
        <v>1169</v>
      </c>
      <c r="B82" s="94">
        <v>8370</v>
      </c>
      <c r="C82" s="94" t="s">
        <v>150</v>
      </c>
      <c r="D82" s="94" t="s">
        <v>1156</v>
      </c>
      <c r="E82" s="94" t="s">
        <v>1118</v>
      </c>
      <c r="F82" s="94"/>
      <c r="G82" s="94" t="s">
        <v>1096</v>
      </c>
      <c r="H82" s="103"/>
      <c r="I82" s="103">
        <v>45947</v>
      </c>
      <c r="J82" s="94"/>
      <c r="K82" s="94" t="s">
        <v>1085</v>
      </c>
      <c r="L82" s="103"/>
      <c r="M82" s="103">
        <v>45926</v>
      </c>
      <c r="N82" s="114"/>
      <c r="O82" s="114">
        <v>1</v>
      </c>
      <c r="P82" s="114">
        <v>1</v>
      </c>
      <c r="Q82" s="114">
        <v>1</v>
      </c>
      <c r="R82" s="114">
        <v>1</v>
      </c>
      <c r="S82" s="114">
        <v>1</v>
      </c>
      <c r="T82" s="114">
        <v>1</v>
      </c>
      <c r="U82" s="114">
        <v>1</v>
      </c>
      <c r="V82" s="114">
        <v>1</v>
      </c>
      <c r="W82" s="115">
        <v>1</v>
      </c>
    </row>
    <row r="83" spans="1:23" x14ac:dyDescent="0.3">
      <c r="A83" s="96" t="s">
        <v>1169</v>
      </c>
      <c r="B83" s="94">
        <v>8339</v>
      </c>
      <c r="C83" s="94" t="s">
        <v>150</v>
      </c>
      <c r="D83" s="94" t="s">
        <v>1157</v>
      </c>
      <c r="E83" s="94" t="s">
        <v>964</v>
      </c>
      <c r="F83" s="94" t="s">
        <v>1091</v>
      </c>
      <c r="G83" s="94" t="s">
        <v>1123</v>
      </c>
      <c r="H83" s="103">
        <v>45919</v>
      </c>
      <c r="I83" s="103">
        <v>45950</v>
      </c>
      <c r="J83" s="94" t="s">
        <v>1124</v>
      </c>
      <c r="K83" s="94" t="s">
        <v>1082</v>
      </c>
      <c r="L83" s="103">
        <v>45889</v>
      </c>
      <c r="M83" s="103">
        <v>45918</v>
      </c>
      <c r="N83" s="114">
        <v>1</v>
      </c>
      <c r="O83" s="114">
        <v>1</v>
      </c>
      <c r="P83" s="114">
        <v>1</v>
      </c>
      <c r="Q83" s="114">
        <v>1</v>
      </c>
      <c r="R83" s="114">
        <v>1</v>
      </c>
      <c r="S83" s="114">
        <v>1</v>
      </c>
      <c r="T83" s="114">
        <v>1</v>
      </c>
      <c r="U83" s="114">
        <v>1</v>
      </c>
      <c r="V83" s="114">
        <v>1</v>
      </c>
      <c r="W83" s="115">
        <v>1</v>
      </c>
    </row>
    <row r="84" spans="1:23" x14ac:dyDescent="0.3">
      <c r="A84" s="96" t="s">
        <v>1169</v>
      </c>
      <c r="B84" s="94">
        <v>8329</v>
      </c>
      <c r="C84" s="94" t="s">
        <v>150</v>
      </c>
      <c r="D84" s="94" t="s">
        <v>1158</v>
      </c>
      <c r="E84" s="94" t="s">
        <v>964</v>
      </c>
      <c r="F84" s="94" t="s">
        <v>1091</v>
      </c>
      <c r="G84" s="94" t="s">
        <v>1123</v>
      </c>
      <c r="H84" s="103">
        <v>45919</v>
      </c>
      <c r="I84" s="103">
        <v>45950</v>
      </c>
      <c r="J84" s="94" t="s">
        <v>1124</v>
      </c>
      <c r="K84" s="94" t="s">
        <v>1082</v>
      </c>
      <c r="L84" s="103">
        <v>45889</v>
      </c>
      <c r="M84" s="103">
        <v>45918</v>
      </c>
      <c r="N84" s="114">
        <v>1</v>
      </c>
      <c r="O84" s="114">
        <v>1</v>
      </c>
      <c r="P84" s="114">
        <v>1</v>
      </c>
      <c r="Q84" s="114">
        <v>1</v>
      </c>
      <c r="R84" s="114">
        <v>1</v>
      </c>
      <c r="S84" s="114">
        <v>1</v>
      </c>
      <c r="T84" s="114">
        <v>1</v>
      </c>
      <c r="U84" s="114">
        <v>1</v>
      </c>
      <c r="V84" s="114">
        <v>1</v>
      </c>
      <c r="W84" s="115">
        <v>1</v>
      </c>
    </row>
    <row r="85" spans="1:23" x14ac:dyDescent="0.3">
      <c r="A85" s="96" t="s">
        <v>1169</v>
      </c>
      <c r="B85" s="94">
        <v>8322</v>
      </c>
      <c r="C85" s="94" t="s">
        <v>150</v>
      </c>
      <c r="D85" s="94" t="s">
        <v>1159</v>
      </c>
      <c r="E85" s="94" t="s">
        <v>964</v>
      </c>
      <c r="F85" s="94" t="s">
        <v>1125</v>
      </c>
      <c r="G85" s="94" t="s">
        <v>1016</v>
      </c>
      <c r="H85" s="103">
        <v>45882</v>
      </c>
      <c r="I85" s="103">
        <v>45916</v>
      </c>
      <c r="J85" s="94" t="s">
        <v>1125</v>
      </c>
      <c r="K85" s="94" t="s">
        <v>1100</v>
      </c>
      <c r="L85" s="103">
        <v>45882</v>
      </c>
      <c r="M85" s="103">
        <v>45911</v>
      </c>
      <c r="N85" s="114">
        <v>1</v>
      </c>
      <c r="O85" s="114">
        <v>1</v>
      </c>
      <c r="P85" s="114">
        <v>1</v>
      </c>
      <c r="Q85" s="114">
        <v>1</v>
      </c>
      <c r="R85" s="114">
        <v>1</v>
      </c>
      <c r="S85" s="114">
        <v>1</v>
      </c>
      <c r="T85" s="114">
        <v>1</v>
      </c>
      <c r="U85" s="114">
        <v>1</v>
      </c>
      <c r="V85" s="114">
        <v>1</v>
      </c>
      <c r="W85" s="115">
        <v>1</v>
      </c>
    </row>
    <row r="86" spans="1:23" x14ac:dyDescent="0.3">
      <c r="A86" s="96" t="s">
        <v>1169</v>
      </c>
      <c r="B86" s="94">
        <v>7822</v>
      </c>
      <c r="C86" s="94" t="s">
        <v>150</v>
      </c>
      <c r="D86" s="94" t="s">
        <v>1160</v>
      </c>
      <c r="E86" s="94" t="s">
        <v>1118</v>
      </c>
      <c r="F86" s="94"/>
      <c r="G86" s="94"/>
      <c r="H86" s="103"/>
      <c r="I86" s="103"/>
      <c r="J86" s="94"/>
      <c r="K86" s="94"/>
      <c r="L86" s="103"/>
      <c r="M86" s="103"/>
      <c r="N86" s="114"/>
      <c r="O86" s="114">
        <v>1</v>
      </c>
      <c r="P86" s="114">
        <v>1</v>
      </c>
      <c r="Q86" s="114">
        <v>1</v>
      </c>
      <c r="R86" s="114">
        <v>1</v>
      </c>
      <c r="S86" s="114">
        <v>1</v>
      </c>
      <c r="T86" s="114">
        <v>1</v>
      </c>
      <c r="U86" s="114">
        <v>1</v>
      </c>
      <c r="V86" s="114">
        <v>1</v>
      </c>
      <c r="W86" s="115">
        <v>1</v>
      </c>
    </row>
    <row r="87" spans="1:23" x14ac:dyDescent="0.3">
      <c r="A87" s="96" t="s">
        <v>1169</v>
      </c>
      <c r="B87" s="94">
        <v>8157</v>
      </c>
      <c r="C87" s="94" t="s">
        <v>151</v>
      </c>
      <c r="D87" s="94" t="s">
        <v>1161</v>
      </c>
      <c r="E87" s="94" t="s">
        <v>964</v>
      </c>
      <c r="F87" s="94" t="s">
        <v>1122</v>
      </c>
      <c r="G87" s="94" t="s">
        <v>1065</v>
      </c>
      <c r="H87" s="103">
        <v>45871</v>
      </c>
      <c r="I87" s="103">
        <v>45906</v>
      </c>
      <c r="J87" s="94" t="s">
        <v>1122</v>
      </c>
      <c r="K87" s="94" t="s">
        <v>1189</v>
      </c>
      <c r="L87" s="103">
        <v>45871</v>
      </c>
      <c r="M87" s="103">
        <v>45958</v>
      </c>
      <c r="N87" s="114">
        <v>1</v>
      </c>
      <c r="O87" s="114">
        <v>1</v>
      </c>
      <c r="P87" s="114">
        <v>1</v>
      </c>
      <c r="Q87" s="114">
        <v>1</v>
      </c>
      <c r="R87" s="114">
        <v>1</v>
      </c>
      <c r="S87" s="114">
        <v>1</v>
      </c>
      <c r="T87" s="114">
        <v>1</v>
      </c>
      <c r="U87" s="114">
        <v>1</v>
      </c>
      <c r="V87" s="114">
        <v>1</v>
      </c>
      <c r="W87" s="115">
        <v>1</v>
      </c>
    </row>
    <row r="88" spans="1:23" x14ac:dyDescent="0.3">
      <c r="A88" s="96" t="s">
        <v>1169</v>
      </c>
      <c r="B88" s="94">
        <v>8145</v>
      </c>
      <c r="C88" s="94" t="s">
        <v>151</v>
      </c>
      <c r="D88" s="94" t="s">
        <v>1162</v>
      </c>
      <c r="E88" s="94" t="s">
        <v>964</v>
      </c>
      <c r="F88" s="94" t="s">
        <v>1126</v>
      </c>
      <c r="G88" s="94" t="s">
        <v>1065</v>
      </c>
      <c r="H88" s="103">
        <v>45880</v>
      </c>
      <c r="I88" s="103">
        <v>45906</v>
      </c>
      <c r="J88" s="94" t="s">
        <v>1126</v>
      </c>
      <c r="K88" s="94"/>
      <c r="L88" s="103">
        <v>45880</v>
      </c>
      <c r="M88" s="103"/>
      <c r="N88" s="114">
        <v>1</v>
      </c>
      <c r="O88" s="114">
        <v>1</v>
      </c>
      <c r="P88" s="114">
        <v>1</v>
      </c>
      <c r="Q88" s="114">
        <v>1</v>
      </c>
      <c r="R88" s="114">
        <v>1</v>
      </c>
      <c r="S88" s="114">
        <v>1</v>
      </c>
      <c r="T88" s="114">
        <v>0</v>
      </c>
      <c r="U88" s="114">
        <v>0</v>
      </c>
      <c r="V88" s="114">
        <v>0</v>
      </c>
      <c r="W88" s="115">
        <v>0.2</v>
      </c>
    </row>
    <row r="89" spans="1:23" x14ac:dyDescent="0.3">
      <c r="A89" s="96" t="s">
        <v>1169</v>
      </c>
      <c r="B89" s="94">
        <v>8144</v>
      </c>
      <c r="C89" s="94" t="s">
        <v>151</v>
      </c>
      <c r="D89" s="94" t="s">
        <v>1163</v>
      </c>
      <c r="E89" s="94" t="s">
        <v>964</v>
      </c>
      <c r="F89" s="94" t="s">
        <v>1013</v>
      </c>
      <c r="G89" s="94" t="s">
        <v>1001</v>
      </c>
      <c r="H89" s="103">
        <v>45887</v>
      </c>
      <c r="I89" s="103">
        <v>45937</v>
      </c>
      <c r="J89" s="94" t="s">
        <v>1013</v>
      </c>
      <c r="K89" s="94"/>
      <c r="L89" s="103">
        <v>45887</v>
      </c>
      <c r="M89" s="103"/>
      <c r="N89" s="114">
        <v>1</v>
      </c>
      <c r="O89" s="114">
        <v>1</v>
      </c>
      <c r="P89" s="114">
        <v>1</v>
      </c>
      <c r="Q89" s="114">
        <v>1</v>
      </c>
      <c r="R89" s="114">
        <v>1</v>
      </c>
      <c r="S89" s="114">
        <v>1</v>
      </c>
      <c r="T89" s="114">
        <v>0</v>
      </c>
      <c r="U89" s="114">
        <v>0</v>
      </c>
      <c r="V89" s="114">
        <v>0</v>
      </c>
      <c r="W89" s="115">
        <v>0.2</v>
      </c>
    </row>
    <row r="90" spans="1:23" x14ac:dyDescent="0.3">
      <c r="A90" s="96" t="s">
        <v>1169</v>
      </c>
      <c r="B90" s="94">
        <v>8332</v>
      </c>
      <c r="C90" s="94" t="s">
        <v>151</v>
      </c>
      <c r="D90" s="94" t="s">
        <v>1164</v>
      </c>
      <c r="E90" s="94" t="s">
        <v>964</v>
      </c>
      <c r="F90" s="94" t="s">
        <v>1000</v>
      </c>
      <c r="G90" s="94" t="s">
        <v>1127</v>
      </c>
      <c r="H90" s="103">
        <v>45894</v>
      </c>
      <c r="I90" s="103">
        <v>45940</v>
      </c>
      <c r="J90" s="94" t="s">
        <v>1000</v>
      </c>
      <c r="K90" s="94"/>
      <c r="L90" s="103">
        <v>45894</v>
      </c>
      <c r="M90" s="103"/>
      <c r="N90" s="114">
        <v>1</v>
      </c>
      <c r="O90" s="114">
        <v>1</v>
      </c>
      <c r="P90" s="114">
        <v>1</v>
      </c>
      <c r="Q90" s="114">
        <v>1</v>
      </c>
      <c r="R90" s="114">
        <v>0</v>
      </c>
      <c r="S90" s="114">
        <v>0</v>
      </c>
      <c r="T90" s="114">
        <v>0</v>
      </c>
      <c r="U90" s="114">
        <v>0</v>
      </c>
      <c r="V90" s="114">
        <v>0</v>
      </c>
      <c r="W90" s="115">
        <v>0.2</v>
      </c>
    </row>
    <row r="91" spans="1:23" x14ac:dyDescent="0.3">
      <c r="A91" s="96" t="s">
        <v>1169</v>
      </c>
      <c r="B91" s="94">
        <v>8331</v>
      </c>
      <c r="C91" s="94" t="s">
        <v>151</v>
      </c>
      <c r="D91" s="94" t="s">
        <v>1165</v>
      </c>
      <c r="E91" s="94" t="s">
        <v>964</v>
      </c>
      <c r="F91" s="94" t="s">
        <v>1128</v>
      </c>
      <c r="G91" s="94" t="s">
        <v>1089</v>
      </c>
      <c r="H91" s="103">
        <v>45896</v>
      </c>
      <c r="I91" s="103">
        <v>45942</v>
      </c>
      <c r="J91" s="94" t="s">
        <v>1128</v>
      </c>
      <c r="K91" s="94"/>
      <c r="L91" s="103">
        <v>45896</v>
      </c>
      <c r="M91" s="103"/>
      <c r="N91" s="114">
        <v>1</v>
      </c>
      <c r="O91" s="114">
        <v>1</v>
      </c>
      <c r="P91" s="114">
        <v>1</v>
      </c>
      <c r="Q91" s="114">
        <v>1</v>
      </c>
      <c r="R91" s="114">
        <v>1</v>
      </c>
      <c r="S91" s="114">
        <v>1</v>
      </c>
      <c r="T91" s="114">
        <v>0</v>
      </c>
      <c r="U91" s="114">
        <v>0</v>
      </c>
      <c r="V91" s="114">
        <v>0</v>
      </c>
      <c r="W91" s="115">
        <v>0.2</v>
      </c>
    </row>
    <row r="92" spans="1:23" x14ac:dyDescent="0.3">
      <c r="A92" s="96" t="s">
        <v>1169</v>
      </c>
      <c r="B92" s="94">
        <v>8328</v>
      </c>
      <c r="C92" s="94" t="s">
        <v>151</v>
      </c>
      <c r="D92" s="94" t="s">
        <v>1167</v>
      </c>
      <c r="E92" s="94" t="s">
        <v>1118</v>
      </c>
      <c r="F92" s="94"/>
      <c r="G92" s="94" t="s">
        <v>1089</v>
      </c>
      <c r="H92" s="103"/>
      <c r="I92" s="103">
        <v>45942</v>
      </c>
      <c r="J92" s="94"/>
      <c r="K92" s="94"/>
      <c r="L92" s="103"/>
      <c r="M92" s="103"/>
      <c r="N92" s="114"/>
      <c r="O92" s="114">
        <v>1</v>
      </c>
      <c r="P92" s="114">
        <v>1</v>
      </c>
      <c r="Q92" s="114">
        <v>1</v>
      </c>
      <c r="R92" s="114">
        <v>1</v>
      </c>
      <c r="S92" s="114">
        <v>1</v>
      </c>
      <c r="T92" s="114">
        <v>0</v>
      </c>
      <c r="U92" s="114">
        <v>0</v>
      </c>
      <c r="V92" s="114">
        <v>0</v>
      </c>
      <c r="W92" s="115">
        <v>0</v>
      </c>
    </row>
    <row r="93" spans="1:23" x14ac:dyDescent="0.3">
      <c r="A93" s="96" t="s">
        <v>1169</v>
      </c>
      <c r="B93" s="94">
        <v>8326</v>
      </c>
      <c r="C93" s="94" t="s">
        <v>151</v>
      </c>
      <c r="D93" s="94" t="s">
        <v>1168</v>
      </c>
      <c r="E93" s="94" t="s">
        <v>1118</v>
      </c>
      <c r="F93" s="94"/>
      <c r="G93" s="94" t="s">
        <v>1001</v>
      </c>
      <c r="H93" s="103"/>
      <c r="I93" s="103">
        <v>45937</v>
      </c>
      <c r="J93" s="94"/>
      <c r="K93" s="94"/>
      <c r="L93" s="103"/>
      <c r="M93" s="103"/>
      <c r="N93" s="114"/>
      <c r="O93" s="114">
        <v>1</v>
      </c>
      <c r="P93" s="114">
        <v>1</v>
      </c>
      <c r="Q93" s="114">
        <v>1</v>
      </c>
      <c r="R93" s="114">
        <v>1</v>
      </c>
      <c r="S93" s="114">
        <v>1</v>
      </c>
      <c r="T93" s="114">
        <v>0</v>
      </c>
      <c r="U93" s="114">
        <v>0</v>
      </c>
      <c r="V93" s="114">
        <v>0</v>
      </c>
      <c r="W93" s="115">
        <v>0.21</v>
      </c>
    </row>
    <row r="94" spans="1:23" x14ac:dyDescent="0.3">
      <c r="A94" s="96" t="s">
        <v>1169</v>
      </c>
      <c r="B94" s="94">
        <v>8156</v>
      </c>
      <c r="C94" s="94" t="s">
        <v>151</v>
      </c>
      <c r="D94" s="94" t="s">
        <v>1190</v>
      </c>
      <c r="E94" s="94" t="s">
        <v>1118</v>
      </c>
      <c r="F94" s="94"/>
      <c r="G94" s="94"/>
      <c r="H94" s="103">
        <v>45894</v>
      </c>
      <c r="I94" s="103"/>
      <c r="J94" s="94"/>
      <c r="K94" s="94"/>
      <c r="L94" s="103"/>
      <c r="M94" s="103"/>
      <c r="N94" s="114"/>
      <c r="O94" s="114">
        <v>1</v>
      </c>
      <c r="P94" s="114">
        <v>1</v>
      </c>
      <c r="Q94" s="114">
        <v>1</v>
      </c>
      <c r="R94" s="114">
        <v>1</v>
      </c>
      <c r="S94" s="114">
        <v>1</v>
      </c>
      <c r="T94" s="114"/>
      <c r="U94" s="114"/>
      <c r="V94" s="114"/>
      <c r="W94" s="115"/>
    </row>
    <row r="95" spans="1:23" x14ac:dyDescent="0.3">
      <c r="A95" s="100" t="s">
        <v>1169</v>
      </c>
      <c r="B95" s="101">
        <v>8334</v>
      </c>
      <c r="C95" s="94" t="s">
        <v>151</v>
      </c>
      <c r="D95" s="101" t="s">
        <v>1166</v>
      </c>
      <c r="E95" s="101" t="s">
        <v>964</v>
      </c>
      <c r="F95" s="101"/>
      <c r="G95" s="101"/>
      <c r="H95" s="103">
        <v>45894</v>
      </c>
      <c r="I95" s="104"/>
      <c r="J95" s="101"/>
      <c r="K95" s="101"/>
      <c r="L95" s="104"/>
      <c r="M95" s="104"/>
      <c r="N95" s="116">
        <v>1</v>
      </c>
      <c r="O95" s="116">
        <v>1</v>
      </c>
      <c r="P95" s="116">
        <v>1</v>
      </c>
      <c r="Q95" s="116">
        <v>1</v>
      </c>
      <c r="R95" s="116">
        <v>1</v>
      </c>
      <c r="S95" s="116">
        <v>1</v>
      </c>
      <c r="T95" s="116">
        <v>0</v>
      </c>
      <c r="U95" s="116">
        <v>0</v>
      </c>
      <c r="V95" s="116">
        <v>0</v>
      </c>
      <c r="W95" s="117">
        <v>0.21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5" tint="-0.249977111117893"/>
  </sheetPr>
  <dimension ref="A1:AA58"/>
  <sheetViews>
    <sheetView zoomScale="55" zoomScaleNormal="55" zoomScaleSheetLayoutView="40" zoomScalePageLayoutView="40" workbookViewId="0">
      <selection activeCell="Q6" sqref="Q6:R6"/>
    </sheetView>
  </sheetViews>
  <sheetFormatPr defaultColWidth="9.109375" defaultRowHeight="15.6" outlineLevelCol="1" x14ac:dyDescent="0.3"/>
  <cols>
    <col min="1" max="1" width="11.109375" style="20" customWidth="1"/>
    <col min="2" max="2" width="18" style="21" customWidth="1"/>
    <col min="3" max="3" width="132.6640625" style="22" bestFit="1" customWidth="1"/>
    <col min="4" max="4" width="18.33203125" style="22" customWidth="1"/>
    <col min="5" max="5" width="23" style="24" customWidth="1" outlineLevel="1"/>
    <col min="6" max="6" width="24.88671875" style="24" customWidth="1" outlineLevel="1"/>
    <col min="7" max="7" width="22.44140625" style="24" customWidth="1" outlineLevel="1"/>
    <col min="8" max="8" width="22.33203125" style="24" customWidth="1" outlineLevel="1"/>
    <col min="9" max="10" width="13.6640625" style="27" customWidth="1" outlineLevel="1"/>
    <col min="11" max="16" width="13.6640625" style="28" customWidth="1" outlineLevel="1"/>
    <col min="17" max="17" width="19.88671875" style="27" customWidth="1" outlineLevel="1"/>
    <col min="18" max="18" width="15.88671875" style="24" customWidth="1"/>
    <col min="19" max="19" width="12.33203125" style="24" customWidth="1"/>
    <col min="20" max="16384" width="9.109375" style="24"/>
  </cols>
  <sheetData>
    <row r="1" spans="1:27" ht="16.2" thickBot="1" x14ac:dyDescent="0.35"/>
    <row r="2" spans="1:27" customFormat="1" ht="97.5" customHeight="1" x14ac:dyDescent="0.3">
      <c r="A2" s="186" t="s">
        <v>146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51"/>
      <c r="R2" s="188"/>
    </row>
    <row r="3" spans="1:27" customFormat="1" ht="19.649999999999999" customHeight="1" x14ac:dyDescent="0.3">
      <c r="A3" s="123"/>
      <c r="B3" s="123"/>
      <c r="C3" s="123"/>
      <c r="D3" s="81"/>
      <c r="E3" s="119" t="s">
        <v>153</v>
      </c>
      <c r="F3" s="119"/>
      <c r="G3" s="119"/>
      <c r="H3" s="164" t="s">
        <v>985</v>
      </c>
      <c r="I3" s="164"/>
      <c r="J3" s="164"/>
      <c r="K3" s="133" t="s">
        <v>923</v>
      </c>
      <c r="L3" s="133"/>
      <c r="M3" s="133"/>
      <c r="N3" s="171" t="s">
        <v>924</v>
      </c>
      <c r="O3" s="172"/>
      <c r="P3" s="173"/>
      <c r="Q3" s="119" t="s">
        <v>920</v>
      </c>
      <c r="R3" s="119"/>
    </row>
    <row r="4" spans="1:27" customFormat="1" ht="19.649999999999999" customHeight="1" x14ac:dyDescent="0.3">
      <c r="A4" s="37" t="s">
        <v>150</v>
      </c>
      <c r="B4" s="135"/>
      <c r="C4" s="135"/>
      <c r="D4" s="82"/>
      <c r="E4" s="119"/>
      <c r="F4" s="119"/>
      <c r="G4" s="119"/>
      <c r="H4" s="164"/>
      <c r="I4" s="164"/>
      <c r="J4" s="164"/>
      <c r="K4" s="133"/>
      <c r="L4" s="133"/>
      <c r="M4" s="133"/>
      <c r="N4" s="174"/>
      <c r="O4" s="175"/>
      <c r="P4" s="176"/>
      <c r="Q4" s="119"/>
      <c r="R4" s="119"/>
    </row>
    <row r="5" spans="1:27" customFormat="1" ht="19.649999999999999" customHeight="1" x14ac:dyDescent="0.3">
      <c r="A5" s="37" t="s">
        <v>151</v>
      </c>
      <c r="B5" s="148"/>
      <c r="C5" s="148"/>
      <c r="D5" s="83"/>
      <c r="E5" s="119"/>
      <c r="F5" s="119"/>
      <c r="G5" s="119"/>
      <c r="H5" s="164"/>
      <c r="I5" s="164"/>
      <c r="J5" s="164"/>
      <c r="K5" s="133"/>
      <c r="L5" s="133"/>
      <c r="M5" s="133"/>
      <c r="N5" s="177"/>
      <c r="O5" s="178"/>
      <c r="P5" s="179"/>
      <c r="Q5" s="119"/>
      <c r="R5" s="119"/>
      <c r="AA5" s="6"/>
    </row>
    <row r="6" spans="1:27" customFormat="1" ht="22.5" customHeight="1" x14ac:dyDescent="0.3">
      <c r="A6" s="37" t="s">
        <v>152</v>
      </c>
      <c r="B6" s="120"/>
      <c r="C6" s="120"/>
      <c r="D6" s="80"/>
      <c r="E6" s="121" t="s">
        <v>1079</v>
      </c>
      <c r="F6" s="121"/>
      <c r="G6" s="121"/>
      <c r="H6" s="122" t="s">
        <v>922</v>
      </c>
      <c r="I6" s="122"/>
      <c r="J6" s="122"/>
      <c r="K6" s="122">
        <f>COUNTIF(B13:B21,"On time")</f>
        <v>9</v>
      </c>
      <c r="L6" s="122"/>
      <c r="M6" s="122"/>
      <c r="N6" s="180">
        <f>COUNTIF(B15:B21,"Inprogress")</f>
        <v>0</v>
      </c>
      <c r="O6" s="181"/>
      <c r="P6" s="182"/>
      <c r="Q6" s="136" t="s">
        <v>1189</v>
      </c>
      <c r="R6" s="136"/>
    </row>
    <row r="7" spans="1:27" customFormat="1" ht="24.75" customHeight="1" x14ac:dyDescent="0.3">
      <c r="A7" s="38" t="s">
        <v>149</v>
      </c>
      <c r="B7" s="149"/>
      <c r="C7" s="149"/>
      <c r="D7" s="84"/>
      <c r="E7" s="121"/>
      <c r="F7" s="121"/>
      <c r="G7" s="121"/>
      <c r="H7" s="122"/>
      <c r="I7" s="122"/>
      <c r="J7" s="122"/>
      <c r="K7" s="122"/>
      <c r="L7" s="122"/>
      <c r="M7" s="122"/>
      <c r="N7" s="183"/>
      <c r="O7" s="184"/>
      <c r="P7" s="185"/>
      <c r="Q7" s="137">
        <v>0.45833333333333331</v>
      </c>
      <c r="R7" s="137"/>
    </row>
    <row r="8" spans="1:27" customFormat="1" ht="37.65" customHeight="1" x14ac:dyDescent="0.3">
      <c r="A8" s="195" t="s">
        <v>957</v>
      </c>
      <c r="B8" s="195" t="s">
        <v>958</v>
      </c>
      <c r="C8" s="142" t="s">
        <v>959</v>
      </c>
      <c r="D8" s="142" t="s">
        <v>960</v>
      </c>
      <c r="E8" s="140" t="s">
        <v>975</v>
      </c>
      <c r="F8" s="140"/>
      <c r="G8" s="140" t="s">
        <v>974</v>
      </c>
      <c r="H8" s="140"/>
      <c r="I8" s="161" t="s">
        <v>973</v>
      </c>
      <c r="J8" s="162"/>
      <c r="K8" s="162"/>
      <c r="L8" s="162"/>
      <c r="M8" s="162"/>
      <c r="N8" s="162"/>
      <c r="O8" s="162"/>
      <c r="P8" s="163"/>
      <c r="Q8" s="154" t="s">
        <v>970</v>
      </c>
      <c r="R8" s="154" t="s">
        <v>971</v>
      </c>
    </row>
    <row r="9" spans="1:27" customFormat="1" ht="26.25" customHeight="1" x14ac:dyDescent="0.3">
      <c r="A9" s="196"/>
      <c r="B9" s="196"/>
      <c r="C9" s="143"/>
      <c r="D9" s="143"/>
      <c r="E9" s="140"/>
      <c r="F9" s="140"/>
      <c r="G9" s="140"/>
      <c r="H9" s="140"/>
      <c r="I9" s="189" t="s">
        <v>964</v>
      </c>
      <c r="J9" s="155" t="s">
        <v>982</v>
      </c>
      <c r="K9" s="153" t="s">
        <v>965</v>
      </c>
      <c r="L9" s="153" t="s">
        <v>966</v>
      </c>
      <c r="M9" s="153" t="s">
        <v>967</v>
      </c>
      <c r="N9" s="153" t="s">
        <v>972</v>
      </c>
      <c r="O9" s="153" t="s">
        <v>968</v>
      </c>
      <c r="P9" s="153" t="s">
        <v>969</v>
      </c>
      <c r="Q9" s="154"/>
      <c r="R9" s="154"/>
    </row>
    <row r="10" spans="1:27" customFormat="1" ht="36.450000000000003" customHeight="1" x14ac:dyDescent="0.3">
      <c r="A10" s="196"/>
      <c r="B10" s="196"/>
      <c r="C10" s="143"/>
      <c r="D10" s="143"/>
      <c r="E10" s="145" t="s">
        <v>961</v>
      </c>
      <c r="F10" s="145" t="s">
        <v>962</v>
      </c>
      <c r="G10" s="145" t="s">
        <v>963</v>
      </c>
      <c r="H10" s="145" t="s">
        <v>962</v>
      </c>
      <c r="I10" s="189"/>
      <c r="J10" s="155"/>
      <c r="K10" s="153"/>
      <c r="L10" s="153"/>
      <c r="M10" s="153"/>
      <c r="N10" s="153"/>
      <c r="O10" s="153"/>
      <c r="P10" s="153"/>
      <c r="Q10" s="154"/>
      <c r="R10" s="154"/>
    </row>
    <row r="11" spans="1:27" customFormat="1" ht="40.5" customHeight="1" x14ac:dyDescent="0.3">
      <c r="A11" s="196"/>
      <c r="B11" s="196"/>
      <c r="C11" s="143"/>
      <c r="D11" s="143"/>
      <c r="E11" s="194"/>
      <c r="F11" s="194"/>
      <c r="G11" s="194"/>
      <c r="H11" s="194"/>
      <c r="I11" s="85">
        <v>0.15</v>
      </c>
      <c r="J11" s="85">
        <v>0.05</v>
      </c>
      <c r="K11" s="85">
        <v>0.1</v>
      </c>
      <c r="L11" s="85">
        <v>0.15</v>
      </c>
      <c r="M11" s="85">
        <v>0.1</v>
      </c>
      <c r="N11" s="85">
        <v>0.15</v>
      </c>
      <c r="O11" s="85">
        <v>0.15</v>
      </c>
      <c r="P11" s="85">
        <v>0.15</v>
      </c>
      <c r="Q11" s="190">
        <f>AVERAGE(Q13:Q21)</f>
        <v>1</v>
      </c>
      <c r="R11" s="192">
        <f>AVERAGE(R13:R21)</f>
        <v>1</v>
      </c>
    </row>
    <row r="12" spans="1:27" customFormat="1" ht="40.5" customHeight="1" x14ac:dyDescent="0.3">
      <c r="A12" s="197"/>
      <c r="B12" s="197"/>
      <c r="C12" s="144"/>
      <c r="D12" s="144"/>
      <c r="E12" s="146"/>
      <c r="F12" s="146"/>
      <c r="G12" s="146"/>
      <c r="H12" s="146"/>
      <c r="I12" s="86">
        <v>0</v>
      </c>
      <c r="J12" s="86">
        <v>0.05</v>
      </c>
      <c r="K12" s="86">
        <v>0.1</v>
      </c>
      <c r="L12" s="86">
        <v>0.15</v>
      </c>
      <c r="M12" s="86">
        <v>0.11</v>
      </c>
      <c r="N12" s="86">
        <v>0.2</v>
      </c>
      <c r="O12" s="86">
        <v>0.24</v>
      </c>
      <c r="P12" s="86">
        <v>0.15</v>
      </c>
      <c r="Q12" s="191"/>
      <c r="R12" s="193"/>
    </row>
    <row r="13" spans="1:27" customFormat="1" ht="65.099999999999994" customHeight="1" x14ac:dyDescent="0.3">
      <c r="A13" s="79">
        <v>7866</v>
      </c>
      <c r="B13" s="30" t="str">
        <f t="shared" ref="B13:B21" si="0">IF(R13=1,"On time","Inprogress")</f>
        <v>On time</v>
      </c>
      <c r="C13" s="48" t="s">
        <v>1021</v>
      </c>
      <c r="D13" s="56" t="s">
        <v>993</v>
      </c>
      <c r="E13" s="50"/>
      <c r="F13" s="50" t="s">
        <v>1001</v>
      </c>
      <c r="G13" s="50"/>
      <c r="H13" s="50" t="s">
        <v>1077</v>
      </c>
      <c r="I13" s="54"/>
      <c r="J13" s="54">
        <v>1</v>
      </c>
      <c r="K13" s="54">
        <v>1</v>
      </c>
      <c r="L13" s="54">
        <v>1</v>
      </c>
      <c r="M13" s="54">
        <v>1</v>
      </c>
      <c r="N13" s="54">
        <v>1</v>
      </c>
      <c r="O13" s="54">
        <v>1</v>
      </c>
      <c r="P13" s="54">
        <v>1</v>
      </c>
      <c r="Q13" s="55">
        <f>SUMPRODUCT($K$12:$P$12,K13:P13)/0.95</f>
        <v>1.0000000000000002</v>
      </c>
      <c r="R13" s="55">
        <f>SUMPRODUCT($I$12:$P$12,I13:P13)</f>
        <v>1</v>
      </c>
    </row>
    <row r="14" spans="1:27" customFormat="1" ht="65.099999999999994" customHeight="1" x14ac:dyDescent="0.3">
      <c r="A14" s="89">
        <v>7865</v>
      </c>
      <c r="B14" s="30" t="str">
        <f>IF(R14=1,"On time","Inprogress")</f>
        <v>On time</v>
      </c>
      <c r="C14" s="48" t="s">
        <v>1022</v>
      </c>
      <c r="D14" s="56" t="s">
        <v>964</v>
      </c>
      <c r="E14" s="50"/>
      <c r="F14" s="50" t="s">
        <v>1095</v>
      </c>
      <c r="G14" s="50"/>
      <c r="H14" s="50" t="s">
        <v>1095</v>
      </c>
      <c r="I14" s="54"/>
      <c r="J14" s="54">
        <v>1</v>
      </c>
      <c r="K14" s="54">
        <v>1</v>
      </c>
      <c r="L14" s="54">
        <v>1</v>
      </c>
      <c r="M14" s="54">
        <v>1</v>
      </c>
      <c r="N14" s="54">
        <v>1</v>
      </c>
      <c r="O14" s="54">
        <v>1</v>
      </c>
      <c r="P14" s="54">
        <v>1</v>
      </c>
      <c r="Q14" s="55">
        <f>SUMPRODUCT($K$12:$P$12,K14:P14)/0.95</f>
        <v>1.0000000000000002</v>
      </c>
      <c r="R14" s="55">
        <f>SUMPRODUCT($I$12:$P$12,I14:P14)</f>
        <v>1</v>
      </c>
    </row>
    <row r="15" spans="1:27" customFormat="1" ht="65.099999999999994" customHeight="1" x14ac:dyDescent="0.3">
      <c r="A15" s="79">
        <v>7862</v>
      </c>
      <c r="B15" s="30" t="str">
        <f>IF(R15=1,"On time","Inprogress")</f>
        <v>On time</v>
      </c>
      <c r="C15" s="48" t="s">
        <v>1024</v>
      </c>
      <c r="D15" s="56" t="s">
        <v>964</v>
      </c>
      <c r="E15" s="50" t="s">
        <v>1000</v>
      </c>
      <c r="F15" s="50" t="s">
        <v>1001</v>
      </c>
      <c r="G15" s="50" t="s">
        <v>1000</v>
      </c>
      <c r="H15" s="50" t="s">
        <v>1085</v>
      </c>
      <c r="I15" s="54">
        <v>1</v>
      </c>
      <c r="J15" s="54">
        <v>1</v>
      </c>
      <c r="K15" s="54">
        <v>1</v>
      </c>
      <c r="L15" s="54">
        <v>1</v>
      </c>
      <c r="M15" s="54">
        <v>1</v>
      </c>
      <c r="N15" s="54">
        <v>1</v>
      </c>
      <c r="O15" s="54">
        <v>1</v>
      </c>
      <c r="P15" s="54">
        <v>1</v>
      </c>
      <c r="Q15" s="55">
        <f>SUMPRODUCT($K$11:$P$11,K15:P15)/0.8</f>
        <v>1</v>
      </c>
      <c r="R15" s="55">
        <f t="shared" ref="R15" si="1">SUMPRODUCT($I$11:$P$11,I15:P15)</f>
        <v>1</v>
      </c>
    </row>
    <row r="16" spans="1:27" customFormat="1" ht="65.099999999999994" customHeight="1" x14ac:dyDescent="0.3">
      <c r="A16" s="79">
        <v>7890</v>
      </c>
      <c r="B16" s="30" t="str">
        <f>IF(R16=1,"On time","Inprogress")</f>
        <v>On time</v>
      </c>
      <c r="C16" s="48" t="s">
        <v>1043</v>
      </c>
      <c r="D16" s="57" t="s">
        <v>964</v>
      </c>
      <c r="E16" s="50" t="s">
        <v>1076</v>
      </c>
      <c r="F16" s="50" t="s">
        <v>1000</v>
      </c>
      <c r="G16" s="50" t="s">
        <v>1076</v>
      </c>
      <c r="H16" s="50" t="s">
        <v>1000</v>
      </c>
      <c r="I16" s="54">
        <v>1</v>
      </c>
      <c r="J16" s="54">
        <v>1</v>
      </c>
      <c r="K16" s="54">
        <v>1</v>
      </c>
      <c r="L16" s="54">
        <v>1</v>
      </c>
      <c r="M16" s="54">
        <v>1</v>
      </c>
      <c r="N16" s="54">
        <v>1</v>
      </c>
      <c r="O16" s="54">
        <v>1</v>
      </c>
      <c r="P16" s="54">
        <v>1</v>
      </c>
      <c r="Q16" s="55">
        <f>SUMPRODUCT($K$11:$P$11,K16:P16)/0.8</f>
        <v>1</v>
      </c>
      <c r="R16" s="55">
        <f>SUMPRODUCT($I$11:$P$11,I16:P16)</f>
        <v>1</v>
      </c>
    </row>
    <row r="17" spans="1:18" customFormat="1" ht="65.099999999999994" customHeight="1" x14ac:dyDescent="0.3">
      <c r="A17" s="89">
        <v>7867</v>
      </c>
      <c r="B17" s="30" t="str">
        <f t="shared" si="0"/>
        <v>On time</v>
      </c>
      <c r="C17" s="48" t="s">
        <v>1020</v>
      </c>
      <c r="D17" s="56" t="s">
        <v>964</v>
      </c>
      <c r="E17" s="50" t="s">
        <v>1066</v>
      </c>
      <c r="F17" s="50" t="s">
        <v>1089</v>
      </c>
      <c r="G17" s="50" t="s">
        <v>1066</v>
      </c>
      <c r="H17" s="50" t="s">
        <v>1112</v>
      </c>
      <c r="I17" s="54">
        <v>1</v>
      </c>
      <c r="J17" s="54">
        <v>1</v>
      </c>
      <c r="K17" s="54">
        <v>1</v>
      </c>
      <c r="L17" s="54">
        <v>1</v>
      </c>
      <c r="M17" s="54">
        <v>1</v>
      </c>
      <c r="N17" s="54">
        <v>1</v>
      </c>
      <c r="O17" s="54">
        <v>1</v>
      </c>
      <c r="P17" s="54">
        <v>1</v>
      </c>
      <c r="Q17" s="55">
        <f>SUMPRODUCT($K$11:$P$11,K17:P17)/0.8</f>
        <v>1</v>
      </c>
      <c r="R17" s="55">
        <f>SUMPRODUCT($I$11:$P$11,I17:P17)</f>
        <v>1</v>
      </c>
    </row>
    <row r="18" spans="1:18" customFormat="1" ht="65.099999999999994" customHeight="1" x14ac:dyDescent="0.3">
      <c r="A18" s="79">
        <v>7888</v>
      </c>
      <c r="B18" s="30" t="str">
        <f>IF(R18=1,"On time","Inprogress")</f>
        <v>On time</v>
      </c>
      <c r="C18" s="48" t="s">
        <v>1045</v>
      </c>
      <c r="D18" s="57" t="s">
        <v>964</v>
      </c>
      <c r="E18" s="50" t="s">
        <v>1066</v>
      </c>
      <c r="F18" s="50" t="s">
        <v>1001</v>
      </c>
      <c r="G18" s="50" t="s">
        <v>1066</v>
      </c>
      <c r="H18" s="50" t="s">
        <v>1112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5">
        <f>SUMPRODUCT($K$11:$P$11,K18:P18)/0.8</f>
        <v>1</v>
      </c>
      <c r="R18" s="55">
        <f>SUMPRODUCT($I$11:$P$11,I18:P18)</f>
        <v>1</v>
      </c>
    </row>
    <row r="19" spans="1:18" customFormat="1" ht="65.099999999999994" customHeight="1" x14ac:dyDescent="0.3">
      <c r="A19" s="79">
        <v>7887</v>
      </c>
      <c r="B19" s="30" t="str">
        <f>IF(R19=1,"On time","Inprogress")</f>
        <v>On time</v>
      </c>
      <c r="C19" s="48" t="s">
        <v>1046</v>
      </c>
      <c r="D19" s="57" t="s">
        <v>993</v>
      </c>
      <c r="E19" s="50" t="s">
        <v>1078</v>
      </c>
      <c r="F19" s="50" t="s">
        <v>1066</v>
      </c>
      <c r="G19" s="50" t="s">
        <v>1078</v>
      </c>
      <c r="H19" s="50" t="s">
        <v>1066</v>
      </c>
      <c r="I19" s="54"/>
      <c r="J19" s="54">
        <v>1</v>
      </c>
      <c r="K19" s="54">
        <v>1</v>
      </c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5">
        <f>SUMPRODUCT($K$12:$P$12,K19:P19)/0.95</f>
        <v>1.0000000000000002</v>
      </c>
      <c r="R19" s="55">
        <f>SUMPRODUCT($I$12:$P$12,I19:P19)</f>
        <v>1</v>
      </c>
    </row>
    <row r="20" spans="1:18" customFormat="1" ht="65.099999999999994" customHeight="1" x14ac:dyDescent="0.3">
      <c r="A20" s="88">
        <v>7860</v>
      </c>
      <c r="B20" s="30" t="str">
        <f t="shared" si="0"/>
        <v>On time</v>
      </c>
      <c r="C20" s="48" t="s">
        <v>1025</v>
      </c>
      <c r="D20" s="56" t="s">
        <v>964</v>
      </c>
      <c r="E20" s="50" t="s">
        <v>1065</v>
      </c>
      <c r="F20" s="50" t="s">
        <v>1001</v>
      </c>
      <c r="G20" s="50" t="s">
        <v>1065</v>
      </c>
      <c r="H20" s="50" t="s">
        <v>1189</v>
      </c>
      <c r="I20" s="54">
        <v>1</v>
      </c>
      <c r="J20" s="54">
        <v>1</v>
      </c>
      <c r="K20" s="54">
        <v>1</v>
      </c>
      <c r="L20" s="54">
        <v>1</v>
      </c>
      <c r="M20" s="54">
        <v>1</v>
      </c>
      <c r="N20" s="54">
        <v>1</v>
      </c>
      <c r="O20" s="54">
        <v>1</v>
      </c>
      <c r="P20" s="54">
        <v>1</v>
      </c>
      <c r="Q20" s="55">
        <f>SUMPRODUCT($K$11:$P$11,K20:P20)/0.8</f>
        <v>1</v>
      </c>
      <c r="R20" s="55">
        <f>SUMPRODUCT($I$11:$P$11,I20:P20)</f>
        <v>1</v>
      </c>
    </row>
    <row r="21" spans="1:18" customFormat="1" ht="65.099999999999994" customHeight="1" x14ac:dyDescent="0.3">
      <c r="A21" s="79">
        <v>7889</v>
      </c>
      <c r="B21" s="30" t="str">
        <f t="shared" si="0"/>
        <v>On time</v>
      </c>
      <c r="C21" s="48" t="s">
        <v>1044</v>
      </c>
      <c r="D21" s="57" t="s">
        <v>964</v>
      </c>
      <c r="E21" s="50" t="s">
        <v>1103</v>
      </c>
      <c r="F21" s="50" t="s">
        <v>1077</v>
      </c>
      <c r="G21" s="50" t="s">
        <v>1103</v>
      </c>
      <c r="H21" s="50" t="s">
        <v>1189</v>
      </c>
      <c r="I21" s="54">
        <v>1</v>
      </c>
      <c r="J21" s="54">
        <v>1</v>
      </c>
      <c r="K21" s="54">
        <v>1</v>
      </c>
      <c r="L21" s="54">
        <v>1</v>
      </c>
      <c r="M21" s="54">
        <v>1</v>
      </c>
      <c r="N21" s="54">
        <v>1</v>
      </c>
      <c r="O21" s="54">
        <v>1</v>
      </c>
      <c r="P21" s="54">
        <v>1</v>
      </c>
      <c r="Q21" s="55">
        <f t="shared" ref="Q21" si="2">SUMPRODUCT($K$11:$P$11,K21:P21)/0.8</f>
        <v>1</v>
      </c>
      <c r="R21" s="55">
        <f t="shared" ref="R21" si="3">SUMPRODUCT($I$11:$P$11,I21:P21)</f>
        <v>1</v>
      </c>
    </row>
    <row r="22" spans="1:18" x14ac:dyDescent="0.3">
      <c r="F22" s="25"/>
      <c r="G22" s="25"/>
    </row>
    <row r="23" spans="1:18" x14ac:dyDescent="0.3">
      <c r="F23" s="25"/>
      <c r="G23" s="25"/>
    </row>
    <row r="24" spans="1:18" x14ac:dyDescent="0.3">
      <c r="F24" s="25"/>
      <c r="G24" s="25"/>
    </row>
    <row r="25" spans="1:18" x14ac:dyDescent="0.3">
      <c r="F25" s="25"/>
      <c r="G25" s="25"/>
    </row>
    <row r="26" spans="1:18" x14ac:dyDescent="0.3">
      <c r="F26" s="25"/>
      <c r="G26" s="25"/>
    </row>
    <row r="27" spans="1:18" x14ac:dyDescent="0.3">
      <c r="F27" s="25"/>
      <c r="G27" s="25"/>
    </row>
    <row r="28" spans="1:18" x14ac:dyDescent="0.3">
      <c r="F28" s="25"/>
      <c r="G28" s="25"/>
    </row>
    <row r="29" spans="1:18" x14ac:dyDescent="0.3">
      <c r="F29" s="25"/>
      <c r="G29" s="25"/>
    </row>
    <row r="30" spans="1:18" x14ac:dyDescent="0.3">
      <c r="F30" s="25"/>
      <c r="G30" s="25"/>
    </row>
    <row r="31" spans="1:18" x14ac:dyDescent="0.3">
      <c r="F31" s="25"/>
      <c r="G31" s="25"/>
    </row>
    <row r="32" spans="1:18" x14ac:dyDescent="0.3">
      <c r="F32" s="25"/>
      <c r="G32" s="25"/>
    </row>
    <row r="33" spans="1:27" s="27" customFormat="1" x14ac:dyDescent="0.3">
      <c r="A33" s="20"/>
      <c r="B33" s="21"/>
      <c r="C33" s="22"/>
      <c r="D33" s="22"/>
      <c r="E33" s="24"/>
      <c r="F33" s="25"/>
      <c r="G33" s="25"/>
      <c r="H33" s="24"/>
      <c r="K33" s="28"/>
      <c r="L33" s="28"/>
      <c r="M33" s="28"/>
      <c r="N33" s="28"/>
      <c r="O33" s="28"/>
      <c r="P33" s="28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s="27" customFormat="1" x14ac:dyDescent="0.3">
      <c r="A34" s="20"/>
      <c r="B34" s="21"/>
      <c r="C34" s="22"/>
      <c r="D34" s="22"/>
      <c r="E34" s="24"/>
      <c r="F34" s="25"/>
      <c r="G34" s="25"/>
      <c r="H34" s="24"/>
      <c r="K34" s="28"/>
      <c r="L34" s="28"/>
      <c r="M34" s="28"/>
      <c r="N34" s="28"/>
      <c r="O34" s="28"/>
      <c r="P34" s="28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s="27" customFormat="1" x14ac:dyDescent="0.3">
      <c r="A35" s="20"/>
      <c r="B35" s="21"/>
      <c r="C35" s="22"/>
      <c r="D35" s="22"/>
      <c r="E35" s="24"/>
      <c r="F35" s="25"/>
      <c r="G35" s="25"/>
      <c r="H35" s="24"/>
      <c r="K35" s="28"/>
      <c r="L35" s="28"/>
      <c r="M35" s="28"/>
      <c r="N35" s="28"/>
      <c r="O35" s="28"/>
      <c r="P35" s="28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s="27" customFormat="1" x14ac:dyDescent="0.3">
      <c r="A36" s="20"/>
      <c r="B36" s="21"/>
      <c r="C36" s="22"/>
      <c r="D36" s="22"/>
      <c r="E36" s="24"/>
      <c r="F36" s="25"/>
      <c r="G36" s="25"/>
      <c r="H36" s="24"/>
      <c r="K36" s="28"/>
      <c r="L36" s="28"/>
      <c r="M36" s="28"/>
      <c r="N36" s="28"/>
      <c r="O36" s="28"/>
      <c r="P36" s="28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s="27" customFormat="1" x14ac:dyDescent="0.3">
      <c r="A37" s="20"/>
      <c r="B37" s="21"/>
      <c r="C37" s="22"/>
      <c r="D37" s="22"/>
      <c r="E37" s="24"/>
      <c r="F37" s="25"/>
      <c r="G37" s="25"/>
      <c r="H37" s="24"/>
      <c r="K37" s="28"/>
      <c r="L37" s="28"/>
      <c r="M37" s="28"/>
      <c r="N37" s="28"/>
      <c r="O37" s="28"/>
      <c r="P37" s="28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s="27" customFormat="1" x14ac:dyDescent="0.3">
      <c r="A38" s="20"/>
      <c r="B38" s="21"/>
      <c r="C38" s="22"/>
      <c r="D38" s="22"/>
      <c r="E38" s="24"/>
      <c r="F38" s="25"/>
      <c r="G38" s="25"/>
      <c r="H38" s="24"/>
      <c r="K38" s="28"/>
      <c r="L38" s="28"/>
      <c r="M38" s="28"/>
      <c r="N38" s="28"/>
      <c r="O38" s="28"/>
      <c r="P38" s="28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s="27" customFormat="1" x14ac:dyDescent="0.3">
      <c r="A39" s="20"/>
      <c r="B39" s="21"/>
      <c r="C39" s="22"/>
      <c r="D39" s="22"/>
      <c r="E39" s="24"/>
      <c r="F39" s="25"/>
      <c r="G39" s="25"/>
      <c r="H39" s="24"/>
      <c r="K39" s="28"/>
      <c r="L39" s="28"/>
      <c r="M39" s="28"/>
      <c r="N39" s="28"/>
      <c r="O39" s="28"/>
      <c r="P39" s="28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s="27" customFormat="1" x14ac:dyDescent="0.3">
      <c r="A40" s="20"/>
      <c r="B40" s="21"/>
      <c r="C40" s="22"/>
      <c r="D40" s="22"/>
      <c r="E40" s="24"/>
      <c r="F40" s="25"/>
      <c r="G40" s="25"/>
      <c r="H40" s="24"/>
      <c r="K40" s="28"/>
      <c r="L40" s="28"/>
      <c r="M40" s="28"/>
      <c r="N40" s="28"/>
      <c r="O40" s="28"/>
      <c r="P40" s="28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s="27" customFormat="1" x14ac:dyDescent="0.3">
      <c r="A41" s="20"/>
      <c r="B41" s="21"/>
      <c r="C41" s="22"/>
      <c r="D41" s="22"/>
      <c r="E41" s="24"/>
      <c r="F41" s="25"/>
      <c r="G41" s="25"/>
      <c r="H41" s="24"/>
      <c r="K41" s="28"/>
      <c r="L41" s="28"/>
      <c r="M41" s="28"/>
      <c r="N41" s="28"/>
      <c r="O41" s="28"/>
      <c r="P41" s="28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s="27" customFormat="1" x14ac:dyDescent="0.3">
      <c r="A42" s="20"/>
      <c r="B42" s="21"/>
      <c r="C42" s="22"/>
      <c r="D42" s="22"/>
      <c r="E42" s="24" t="s">
        <v>926</v>
      </c>
      <c r="F42" s="25" t="s">
        <v>931</v>
      </c>
      <c r="G42" s="25" t="e">
        <f ca="1">[1]!s2m(E42)</f>
        <v>#NAME?</v>
      </c>
      <c r="H42" s="24" t="e">
        <f ca="1">[1]!s2m(F42)</f>
        <v>#NAME?</v>
      </c>
      <c r="I42" s="45" t="e">
        <f t="shared" ref="I42:I58" ca="1" si="4">H42-TODAY()</f>
        <v>#NAME?</v>
      </c>
      <c r="K42" s="28"/>
      <c r="L42" s="28"/>
      <c r="M42" s="28"/>
      <c r="N42" s="28"/>
      <c r="O42" s="28"/>
      <c r="P42" s="28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s="27" customFormat="1" x14ac:dyDescent="0.3">
      <c r="A43" s="20"/>
      <c r="B43" s="21"/>
      <c r="C43" s="22"/>
      <c r="D43" s="22"/>
      <c r="E43" s="24" t="s">
        <v>926</v>
      </c>
      <c r="F43" s="24" t="s">
        <v>931</v>
      </c>
      <c r="G43" s="25" t="e">
        <f ca="1">[1]!s2m(E43)</f>
        <v>#NAME?</v>
      </c>
      <c r="H43" s="24" t="e">
        <f ca="1">[1]!s2m(F43)</f>
        <v>#NAME?</v>
      </c>
      <c r="I43" s="45" t="e">
        <f t="shared" ca="1" si="4"/>
        <v>#NAME?</v>
      </c>
      <c r="K43" s="28"/>
      <c r="L43" s="28"/>
      <c r="M43" s="28"/>
      <c r="N43" s="28"/>
      <c r="O43" s="28"/>
      <c r="P43" s="28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s="27" customFormat="1" x14ac:dyDescent="0.3">
      <c r="A44" s="20"/>
      <c r="B44" s="21"/>
      <c r="C44" s="22"/>
      <c r="D44" s="22"/>
      <c r="E44" s="24" t="s">
        <v>927</v>
      </c>
      <c r="F44" s="24" t="s">
        <v>932</v>
      </c>
      <c r="G44" s="25" t="e">
        <f ca="1">[1]!s2m(E44)</f>
        <v>#NAME?</v>
      </c>
      <c r="H44" s="24" t="e">
        <f ca="1">[1]!s2m(F44)</f>
        <v>#NAME?</v>
      </c>
      <c r="I44" s="45" t="e">
        <f t="shared" ca="1" si="4"/>
        <v>#NAME?</v>
      </c>
      <c r="K44" s="28"/>
      <c r="L44" s="28"/>
      <c r="M44" s="28"/>
      <c r="N44" s="28"/>
      <c r="O44" s="28"/>
      <c r="P44" s="28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s="27" customFormat="1" x14ac:dyDescent="0.3">
      <c r="A45" s="20"/>
      <c r="B45" s="21"/>
      <c r="C45" s="22"/>
      <c r="D45" s="22"/>
      <c r="E45" s="24" t="s">
        <v>925</v>
      </c>
      <c r="F45" s="24" t="s">
        <v>933</v>
      </c>
      <c r="G45" s="25" t="e">
        <f ca="1">[1]!s2m(E45)</f>
        <v>#NAME?</v>
      </c>
      <c r="H45" s="24" t="e">
        <f ca="1">[1]!s2m(F45)</f>
        <v>#NAME?</v>
      </c>
      <c r="I45" s="45" t="e">
        <f t="shared" ca="1" si="4"/>
        <v>#NAME?</v>
      </c>
      <c r="K45" s="28"/>
      <c r="L45" s="28"/>
      <c r="M45" s="28"/>
      <c r="N45" s="28"/>
      <c r="O45" s="28"/>
      <c r="P45" s="28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s="27" customFormat="1" x14ac:dyDescent="0.3">
      <c r="A46" s="20"/>
      <c r="B46" s="21"/>
      <c r="C46" s="22"/>
      <c r="D46" s="22"/>
      <c r="E46" s="24" t="s">
        <v>928</v>
      </c>
      <c r="F46" s="24" t="s">
        <v>934</v>
      </c>
      <c r="G46" s="25" t="e">
        <f ca="1">[1]!s2m(E46)</f>
        <v>#NAME?</v>
      </c>
      <c r="H46" s="24" t="e">
        <f ca="1">[1]!s2m(F46)</f>
        <v>#NAME?</v>
      </c>
      <c r="I46" s="45" t="e">
        <f t="shared" ca="1" si="4"/>
        <v>#NAME?</v>
      </c>
      <c r="K46" s="28"/>
      <c r="L46" s="28"/>
      <c r="M46" s="28"/>
      <c r="N46" s="28"/>
      <c r="O46" s="28"/>
      <c r="P46" s="28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s="27" customFormat="1" x14ac:dyDescent="0.3">
      <c r="A47" s="20"/>
      <c r="B47" s="21"/>
      <c r="C47" s="22"/>
      <c r="D47" s="22"/>
      <c r="E47" s="24" t="s">
        <v>929</v>
      </c>
      <c r="F47" s="24" t="s">
        <v>935</v>
      </c>
      <c r="G47" s="25" t="e">
        <f ca="1">[1]!s2m(E47)</f>
        <v>#NAME?</v>
      </c>
      <c r="H47" s="24" t="e">
        <f ca="1">[1]!s2m(F47)</f>
        <v>#NAME?</v>
      </c>
      <c r="I47" s="45" t="e">
        <f t="shared" ca="1" si="4"/>
        <v>#NAME?</v>
      </c>
      <c r="K47" s="28"/>
      <c r="L47" s="28"/>
      <c r="M47" s="28"/>
      <c r="N47" s="28"/>
      <c r="O47" s="28"/>
      <c r="P47" s="28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s="27" customFormat="1" x14ac:dyDescent="0.3">
      <c r="A48" s="20"/>
      <c r="B48" s="21"/>
      <c r="C48" s="22"/>
      <c r="D48" s="22"/>
      <c r="E48" s="24" t="s">
        <v>930</v>
      </c>
      <c r="F48" s="24" t="s">
        <v>936</v>
      </c>
      <c r="G48" s="25" t="e">
        <f ca="1">[1]!s2m(E48)</f>
        <v>#NAME?</v>
      </c>
      <c r="H48" s="24" t="e">
        <f ca="1">[1]!s2m(F48)</f>
        <v>#NAME?</v>
      </c>
      <c r="I48" s="45" t="e">
        <f t="shared" ca="1" si="4"/>
        <v>#NAME?</v>
      </c>
      <c r="K48" s="28"/>
      <c r="L48" s="28"/>
      <c r="M48" s="28"/>
      <c r="N48" s="28"/>
      <c r="O48" s="28"/>
      <c r="P48" s="28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s="27" customFormat="1" x14ac:dyDescent="0.3">
      <c r="A49" s="20"/>
      <c r="B49" s="21"/>
      <c r="C49" s="22"/>
      <c r="D49" s="22"/>
      <c r="E49" s="24" t="s">
        <v>937</v>
      </c>
      <c r="F49" s="24" t="s">
        <v>944</v>
      </c>
      <c r="G49" s="25" t="e">
        <f ca="1">[1]!s2m(E49)</f>
        <v>#NAME?</v>
      </c>
      <c r="H49" s="24" t="e">
        <f ca="1">[1]!s2m(F49)</f>
        <v>#NAME?</v>
      </c>
      <c r="I49" s="45" t="e">
        <f t="shared" ca="1" si="4"/>
        <v>#NAME?</v>
      </c>
      <c r="K49" s="28"/>
      <c r="L49" s="28"/>
      <c r="M49" s="28"/>
      <c r="N49" s="28"/>
      <c r="O49" s="28"/>
      <c r="P49" s="28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s="27" customFormat="1" x14ac:dyDescent="0.3">
      <c r="A50" s="20"/>
      <c r="B50" s="21"/>
      <c r="C50" s="22"/>
      <c r="D50" s="22"/>
      <c r="E50" s="24" t="s">
        <v>938</v>
      </c>
      <c r="F50" s="24" t="s">
        <v>945</v>
      </c>
      <c r="G50" s="25" t="e">
        <f ca="1">[1]!s2m(E50)</f>
        <v>#NAME?</v>
      </c>
      <c r="H50" s="24" t="e">
        <f ca="1">[1]!s2m(F50)</f>
        <v>#NAME?</v>
      </c>
      <c r="I50" s="45" t="e">
        <f t="shared" ca="1" si="4"/>
        <v>#NAME?</v>
      </c>
      <c r="K50" s="28"/>
      <c r="L50" s="28"/>
      <c r="M50" s="28"/>
      <c r="N50" s="28"/>
      <c r="O50" s="28"/>
      <c r="P50" s="28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s="27" customFormat="1" x14ac:dyDescent="0.3">
      <c r="A51" s="20"/>
      <c r="B51" s="21"/>
      <c r="C51" s="22"/>
      <c r="D51" s="22"/>
      <c r="E51" s="24" t="s">
        <v>681</v>
      </c>
      <c r="F51" s="24" t="s">
        <v>946</v>
      </c>
      <c r="G51" s="25" t="e">
        <f ca="1">[1]!s2m(E51)</f>
        <v>#NAME?</v>
      </c>
      <c r="H51" s="24" t="e">
        <f ca="1">[1]!s2m(F51)</f>
        <v>#NAME?</v>
      </c>
      <c r="I51" s="45" t="e">
        <f t="shared" ca="1" si="4"/>
        <v>#NAME?</v>
      </c>
      <c r="K51" s="28"/>
      <c r="L51" s="28"/>
      <c r="M51" s="28"/>
      <c r="N51" s="28"/>
      <c r="O51" s="28"/>
      <c r="P51" s="28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s="27" customFormat="1" x14ac:dyDescent="0.3">
      <c r="A52" s="20"/>
      <c r="B52" s="21"/>
      <c r="C52" s="22"/>
      <c r="D52" s="22"/>
      <c r="E52" s="24" t="s">
        <v>939</v>
      </c>
      <c r="F52" s="24" t="s">
        <v>947</v>
      </c>
      <c r="G52" s="25" t="e">
        <f ca="1">[1]!s2m(E52)</f>
        <v>#NAME?</v>
      </c>
      <c r="H52" s="24" t="e">
        <f ca="1">[1]!s2m(F52)</f>
        <v>#NAME?</v>
      </c>
      <c r="I52" s="45" t="e">
        <f t="shared" ca="1" si="4"/>
        <v>#NAME?</v>
      </c>
      <c r="K52" s="28"/>
      <c r="L52" s="28"/>
      <c r="M52" s="28"/>
      <c r="N52" s="28"/>
      <c r="O52" s="28"/>
      <c r="P52" s="28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s="27" customFormat="1" x14ac:dyDescent="0.3">
      <c r="A53" s="20"/>
      <c r="B53" s="21"/>
      <c r="C53" s="22"/>
      <c r="D53" s="22"/>
      <c r="E53" s="24" t="s">
        <v>940</v>
      </c>
      <c r="F53" s="24" t="s">
        <v>948</v>
      </c>
      <c r="G53" s="25" t="e">
        <f ca="1">[1]!s2m(E53)</f>
        <v>#NAME?</v>
      </c>
      <c r="H53" s="24" t="e">
        <f ca="1">[1]!s2m(F53)</f>
        <v>#NAME?</v>
      </c>
      <c r="I53" s="45" t="e">
        <f t="shared" ca="1" si="4"/>
        <v>#NAME?</v>
      </c>
      <c r="K53" s="28"/>
      <c r="L53" s="28"/>
      <c r="M53" s="28"/>
      <c r="N53" s="28"/>
      <c r="O53" s="28"/>
      <c r="P53" s="28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s="27" customFormat="1" x14ac:dyDescent="0.3">
      <c r="A54" s="20"/>
      <c r="B54" s="21"/>
      <c r="C54" s="22"/>
      <c r="D54" s="22"/>
      <c r="E54" s="24" t="s">
        <v>941</v>
      </c>
      <c r="F54" s="24" t="s">
        <v>949</v>
      </c>
      <c r="G54" s="25" t="e">
        <f ca="1">[1]!s2m(E54)</f>
        <v>#NAME?</v>
      </c>
      <c r="H54" s="24" t="e">
        <f ca="1">[1]!s2m(F54)</f>
        <v>#NAME?</v>
      </c>
      <c r="I54" s="45" t="e">
        <f t="shared" ca="1" si="4"/>
        <v>#NAME?</v>
      </c>
      <c r="K54" s="28"/>
      <c r="L54" s="28"/>
      <c r="M54" s="28"/>
      <c r="N54" s="28"/>
      <c r="O54" s="28"/>
      <c r="P54" s="28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s="27" customFormat="1" x14ac:dyDescent="0.3">
      <c r="A55" s="20"/>
      <c r="B55" s="21"/>
      <c r="C55" s="22"/>
      <c r="D55" s="22"/>
      <c r="E55" s="24" t="s">
        <v>942</v>
      </c>
      <c r="F55" s="24" t="s">
        <v>950</v>
      </c>
      <c r="G55" s="25" t="e">
        <f ca="1">[1]!s2m(E55)</f>
        <v>#NAME?</v>
      </c>
      <c r="H55" s="24" t="e">
        <f ca="1">[1]!s2m(F55)</f>
        <v>#NAME?</v>
      </c>
      <c r="I55" s="45" t="e">
        <f t="shared" ca="1" si="4"/>
        <v>#NAME?</v>
      </c>
      <c r="K55" s="28"/>
      <c r="L55" s="28"/>
      <c r="M55" s="28"/>
      <c r="N55" s="28"/>
      <c r="O55" s="28"/>
      <c r="P55" s="28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s="27" customFormat="1" x14ac:dyDescent="0.3">
      <c r="A56" s="20"/>
      <c r="B56" s="21"/>
      <c r="C56" s="22"/>
      <c r="D56" s="22"/>
      <c r="E56" s="24" t="s">
        <v>943</v>
      </c>
      <c r="F56" s="24" t="s">
        <v>951</v>
      </c>
      <c r="G56" s="25" t="e">
        <f ca="1">[1]!s2m(E56)</f>
        <v>#NAME?</v>
      </c>
      <c r="H56" s="24" t="e">
        <f ca="1">[1]!s2m(F56)</f>
        <v>#NAME?</v>
      </c>
      <c r="I56" s="45" t="e">
        <f t="shared" ca="1" si="4"/>
        <v>#NAME?</v>
      </c>
      <c r="K56" s="28"/>
      <c r="L56" s="28"/>
      <c r="M56" s="28"/>
      <c r="N56" s="28"/>
      <c r="O56" s="28"/>
      <c r="P56" s="28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s="27" customFormat="1" x14ac:dyDescent="0.3">
      <c r="A57" s="20"/>
      <c r="B57" s="21"/>
      <c r="C57" s="22"/>
      <c r="D57" s="22"/>
      <c r="E57" s="24" t="s">
        <v>939</v>
      </c>
      <c r="F57" s="24" t="s">
        <v>947</v>
      </c>
      <c r="G57" s="25" t="e">
        <f ca="1">[1]!s2m(E57)</f>
        <v>#NAME?</v>
      </c>
      <c r="H57" s="24" t="e">
        <f ca="1">[1]!s2m(F57)</f>
        <v>#NAME?</v>
      </c>
      <c r="I57" s="45" t="e">
        <f t="shared" ca="1" si="4"/>
        <v>#NAME?</v>
      </c>
      <c r="K57" s="28"/>
      <c r="L57" s="28"/>
      <c r="M57" s="28"/>
      <c r="N57" s="28"/>
      <c r="O57" s="28"/>
      <c r="P57" s="28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s="27" customFormat="1" x14ac:dyDescent="0.3">
      <c r="A58" s="20"/>
      <c r="B58" s="21"/>
      <c r="C58" s="22"/>
      <c r="D58" s="22"/>
      <c r="E58" s="24" t="s">
        <v>943</v>
      </c>
      <c r="F58" s="24" t="s">
        <v>951</v>
      </c>
      <c r="G58" s="25" t="e">
        <f ca="1">[1]!s2m(E58)</f>
        <v>#NAME?</v>
      </c>
      <c r="H58" s="24" t="e">
        <f ca="1">[1]!s2m(F58)</f>
        <v>#NAME?</v>
      </c>
      <c r="I58" s="45" t="e">
        <f t="shared" ca="1" si="4"/>
        <v>#NAME?</v>
      </c>
      <c r="K58" s="28"/>
      <c r="L58" s="28"/>
      <c r="M58" s="28"/>
      <c r="N58" s="28"/>
      <c r="O58" s="28"/>
      <c r="P58" s="28"/>
      <c r="R58" s="24"/>
      <c r="S58" s="24"/>
      <c r="T58" s="24"/>
      <c r="U58" s="24"/>
      <c r="V58" s="24"/>
      <c r="W58" s="24"/>
      <c r="X58" s="24"/>
      <c r="Y58" s="24"/>
      <c r="Z58" s="24"/>
      <c r="AA58" s="24"/>
    </row>
  </sheetData>
  <mergeCells count="41"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  <mergeCell ref="N6:P7"/>
    <mergeCell ref="Q6:R6"/>
    <mergeCell ref="B7:C7"/>
    <mergeCell ref="Q7:R7"/>
    <mergeCell ref="E8:F9"/>
    <mergeCell ref="D8:D12"/>
    <mergeCell ref="E10:E12"/>
    <mergeCell ref="F10:F12"/>
    <mergeCell ref="C8:C12"/>
    <mergeCell ref="B8:B12"/>
    <mergeCell ref="Q11:Q12"/>
    <mergeCell ref="R11:R12"/>
    <mergeCell ref="B6:C6"/>
    <mergeCell ref="E6:G7"/>
    <mergeCell ref="H6:J7"/>
    <mergeCell ref="K6:M7"/>
    <mergeCell ref="A8:A12"/>
    <mergeCell ref="I8:P8"/>
    <mergeCell ref="Q8:Q10"/>
    <mergeCell ref="R8:R10"/>
    <mergeCell ref="I9:I10"/>
    <mergeCell ref="J9:J10"/>
    <mergeCell ref="K9:K10"/>
    <mergeCell ref="L9:L10"/>
    <mergeCell ref="M9:M10"/>
    <mergeCell ref="N9:N10"/>
    <mergeCell ref="O9:O10"/>
    <mergeCell ref="P9:P10"/>
    <mergeCell ref="G8:H9"/>
    <mergeCell ref="G10:G12"/>
    <mergeCell ref="H10:H12"/>
  </mergeCells>
  <phoneticPr fontId="24" type="noConversion"/>
  <conditionalFormatting sqref="B13:B21">
    <cfRule type="cellIs" dxfId="42" priority="3" operator="equal">
      <formula>"Delete"</formula>
    </cfRule>
    <cfRule type="cellIs" dxfId="41" priority="8" operator="equal">
      <formula>"On time"</formula>
    </cfRule>
    <cfRule type="cellIs" dxfId="40" priority="9" operator="equal">
      <formula>"Delay"</formula>
    </cfRule>
    <cfRule type="cellIs" dxfId="39" priority="11" operator="equal">
      <formula>"Inprogress"</formula>
    </cfRule>
    <cfRule type="cellIs" dxfId="38" priority="12" operator="equal">
      <formula>"Ahead of schedule"</formula>
    </cfRule>
  </conditionalFormatting>
  <conditionalFormatting sqref="B6:D6">
    <cfRule type="cellIs" dxfId="37" priority="10" operator="equal">
      <formula>"Delay"</formula>
    </cfRule>
  </conditionalFormatting>
  <conditionalFormatting sqref="I13:R21">
    <cfRule type="cellIs" dxfId="36" priority="2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{5E0988C3-3849-4D02-956F-687030F6B7D9}</x14:id>
        </ext>
      </extLst>
    </cfRule>
  </conditionalFormatting>
  <conditionalFormatting sqref="Q13:R21">
    <cfRule type="cellIs" dxfId="35" priority="5" operator="between">
      <formula>0.01</formula>
      <formula>0.99</formula>
    </cfRule>
    <cfRule type="cellIs" dxfId="34" priority="7" operator="equal">
      <formula>0</formula>
    </cfRule>
  </conditionalFormatting>
  <pageMargins left="0.1" right="0" top="0.1" bottom="0" header="0" footer="0"/>
  <pageSetup paperSize="9" scale="35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0988C3-3849-4D02-956F-687030F6B7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5" tint="-0.249977111117893"/>
  </sheetPr>
  <dimension ref="A1:AL67"/>
  <sheetViews>
    <sheetView topLeftCell="G2" zoomScale="70" zoomScaleNormal="70" zoomScaleSheetLayoutView="40" zoomScalePageLayoutView="40" workbookViewId="0">
      <selection activeCell="X14" sqref="W14:X14"/>
    </sheetView>
  </sheetViews>
  <sheetFormatPr defaultColWidth="9.109375" defaultRowHeight="15.6" outlineLevelCol="1" x14ac:dyDescent="0.3"/>
  <cols>
    <col min="1" max="1" width="11.109375" style="20" customWidth="1"/>
    <col min="2" max="2" width="18" style="21" customWidth="1"/>
    <col min="3" max="3" width="99.6640625" style="22" customWidth="1"/>
    <col min="4" max="4" width="18.33203125" style="22" customWidth="1"/>
    <col min="5" max="5" width="23" style="24" customWidth="1" outlineLevel="1"/>
    <col min="6" max="6" width="24.88671875" style="24" customWidth="1" outlineLevel="1"/>
    <col min="7" max="7" width="22.44140625" style="24" customWidth="1" outlineLevel="1"/>
    <col min="8" max="8" width="22.33203125" style="24" customWidth="1" outlineLevel="1"/>
    <col min="9" max="10" width="13.6640625" style="27" customWidth="1" outlineLevel="1"/>
    <col min="11" max="16" width="13.6640625" style="28" customWidth="1" outlineLevel="1"/>
    <col min="17" max="17" width="19.88671875" style="27" customWidth="1" outlineLevel="1"/>
    <col min="18" max="18" width="15.88671875" style="24" customWidth="1"/>
    <col min="19" max="19" width="10.44140625" style="24" customWidth="1"/>
    <col min="20" max="20" width="18.33203125" style="24" bestFit="1" customWidth="1"/>
    <col min="21" max="25" width="10.44140625" style="24" customWidth="1"/>
    <col min="26" max="27" width="10.44140625" style="24" hidden="1" customWidth="1"/>
    <col min="28" max="28" width="10.44140625" style="24" customWidth="1"/>
    <col min="29" max="30" width="12.33203125" style="24" customWidth="1"/>
    <col min="31" max="16384" width="9.109375" style="24"/>
  </cols>
  <sheetData>
    <row r="1" spans="1:38" ht="16.2" thickBot="1" x14ac:dyDescent="0.35"/>
    <row r="2" spans="1:38" customFormat="1" ht="97.5" customHeight="1" x14ac:dyDescent="0.3">
      <c r="A2" s="186" t="s">
        <v>146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51"/>
      <c r="R2" s="188"/>
    </row>
    <row r="3" spans="1:38" customFormat="1" ht="19.649999999999999" customHeight="1" x14ac:dyDescent="0.3">
      <c r="A3" s="123"/>
      <c r="B3" s="123"/>
      <c r="C3" s="123"/>
      <c r="D3" s="81"/>
      <c r="E3" s="119" t="s">
        <v>153</v>
      </c>
      <c r="F3" s="119"/>
      <c r="G3" s="119"/>
      <c r="H3" s="164" t="s">
        <v>985</v>
      </c>
      <c r="I3" s="164"/>
      <c r="J3" s="164"/>
      <c r="K3" s="133" t="s">
        <v>923</v>
      </c>
      <c r="L3" s="133"/>
      <c r="M3" s="133"/>
      <c r="N3" s="171" t="s">
        <v>924</v>
      </c>
      <c r="O3" s="172"/>
      <c r="P3" s="173"/>
      <c r="Q3" s="119" t="s">
        <v>920</v>
      </c>
      <c r="R3" s="119"/>
    </row>
    <row r="4" spans="1:38" customFormat="1" ht="19.649999999999999" customHeight="1" thickBot="1" x14ac:dyDescent="0.35">
      <c r="A4" s="37" t="s">
        <v>150</v>
      </c>
      <c r="B4" s="135"/>
      <c r="C4" s="135"/>
      <c r="D4" s="82"/>
      <c r="E4" s="119"/>
      <c r="F4" s="119"/>
      <c r="G4" s="119"/>
      <c r="H4" s="164"/>
      <c r="I4" s="164"/>
      <c r="J4" s="164"/>
      <c r="K4" s="133"/>
      <c r="L4" s="133"/>
      <c r="M4" s="133"/>
      <c r="N4" s="174"/>
      <c r="O4" s="175"/>
      <c r="P4" s="176"/>
      <c r="Q4" s="119"/>
      <c r="R4" s="119"/>
    </row>
    <row r="5" spans="1:38" customFormat="1" ht="19.649999999999999" customHeight="1" x14ac:dyDescent="0.3">
      <c r="A5" s="37" t="s">
        <v>151</v>
      </c>
      <c r="B5" s="148"/>
      <c r="C5" s="148"/>
      <c r="D5" s="83"/>
      <c r="E5" s="119"/>
      <c r="F5" s="119"/>
      <c r="G5" s="119"/>
      <c r="H5" s="164"/>
      <c r="I5" s="164"/>
      <c r="J5" s="164"/>
      <c r="K5" s="133"/>
      <c r="L5" s="133"/>
      <c r="M5" s="133"/>
      <c r="N5" s="177"/>
      <c r="O5" s="178"/>
      <c r="P5" s="179"/>
      <c r="Q5" s="119"/>
      <c r="R5" s="119"/>
      <c r="S5" s="167" t="s">
        <v>173</v>
      </c>
      <c r="T5" s="169" t="s">
        <v>147</v>
      </c>
      <c r="U5" s="169" t="s">
        <v>155</v>
      </c>
      <c r="V5" s="169" t="s">
        <v>156</v>
      </c>
      <c r="W5" s="169" t="s">
        <v>157</v>
      </c>
      <c r="X5" s="169" t="s">
        <v>158</v>
      </c>
      <c r="Y5" s="169" t="s">
        <v>159</v>
      </c>
      <c r="Z5" s="7"/>
      <c r="AA5" s="7"/>
      <c r="AB5" s="165" t="s">
        <v>160</v>
      </c>
      <c r="AC5" s="15"/>
      <c r="AL5" s="6"/>
    </row>
    <row r="6" spans="1:38" customFormat="1" ht="22.5" customHeight="1" thickBot="1" x14ac:dyDescent="0.35">
      <c r="A6" s="37" t="s">
        <v>152</v>
      </c>
      <c r="B6" s="120"/>
      <c r="C6" s="120"/>
      <c r="D6" s="80"/>
      <c r="E6" s="121" t="s">
        <v>991</v>
      </c>
      <c r="F6" s="121"/>
      <c r="G6" s="121"/>
      <c r="H6" s="122" t="s">
        <v>922</v>
      </c>
      <c r="I6" s="122"/>
      <c r="J6" s="122"/>
      <c r="K6" s="122">
        <f>COUNTIF(B13:B30,"On time")</f>
        <v>16</v>
      </c>
      <c r="L6" s="122"/>
      <c r="M6" s="122"/>
      <c r="N6" s="180">
        <f>COUNTIF(B13:B30,"Inprogress")</f>
        <v>2</v>
      </c>
      <c r="O6" s="181"/>
      <c r="P6" s="182"/>
      <c r="Q6" s="136" t="s">
        <v>1189</v>
      </c>
      <c r="R6" s="136"/>
      <c r="S6" s="168"/>
      <c r="T6" s="170"/>
      <c r="U6" s="170"/>
      <c r="V6" s="170"/>
      <c r="W6" s="170"/>
      <c r="X6" s="170"/>
      <c r="Y6" s="170"/>
      <c r="Z6" s="8"/>
      <c r="AA6" s="8"/>
      <c r="AB6" s="166"/>
      <c r="AC6" s="16"/>
    </row>
    <row r="7" spans="1:38" customFormat="1" ht="24.75" customHeight="1" x14ac:dyDescent="0.3">
      <c r="A7" s="38" t="s">
        <v>149</v>
      </c>
      <c r="B7" s="149"/>
      <c r="C7" s="149"/>
      <c r="D7" s="84"/>
      <c r="E7" s="121"/>
      <c r="F7" s="121"/>
      <c r="G7" s="121"/>
      <c r="H7" s="122"/>
      <c r="I7" s="122"/>
      <c r="J7" s="122"/>
      <c r="K7" s="122"/>
      <c r="L7" s="122"/>
      <c r="M7" s="122"/>
      <c r="N7" s="183"/>
      <c r="O7" s="184"/>
      <c r="P7" s="185"/>
      <c r="Q7" s="137">
        <v>0.45833333333333331</v>
      </c>
      <c r="R7" s="137"/>
      <c r="S7" s="17">
        <v>0</v>
      </c>
      <c r="T7" s="11">
        <v>0.05</v>
      </c>
      <c r="U7" s="11">
        <v>0.1</v>
      </c>
      <c r="V7" s="11">
        <v>0.15</v>
      </c>
      <c r="W7" s="11">
        <v>0.11</v>
      </c>
      <c r="X7" s="11">
        <v>0.2</v>
      </c>
      <c r="Y7" s="11">
        <v>0.24</v>
      </c>
      <c r="Z7" s="11">
        <v>0</v>
      </c>
      <c r="AA7" s="11">
        <v>0</v>
      </c>
      <c r="AB7" s="12">
        <v>0.15</v>
      </c>
      <c r="AC7" s="9" t="s">
        <v>171</v>
      </c>
    </row>
    <row r="8" spans="1:38" customFormat="1" ht="37.65" customHeight="1" thickBot="1" x14ac:dyDescent="0.35">
      <c r="A8" s="138" t="s">
        <v>957</v>
      </c>
      <c r="B8" s="138" t="s">
        <v>958</v>
      </c>
      <c r="C8" s="142" t="s">
        <v>959</v>
      </c>
      <c r="D8" s="142" t="s">
        <v>960</v>
      </c>
      <c r="E8" s="140" t="s">
        <v>975</v>
      </c>
      <c r="F8" s="140"/>
      <c r="G8" s="140" t="s">
        <v>974</v>
      </c>
      <c r="H8" s="140"/>
      <c r="I8" s="161" t="s">
        <v>973</v>
      </c>
      <c r="J8" s="162"/>
      <c r="K8" s="162"/>
      <c r="L8" s="162"/>
      <c r="M8" s="162"/>
      <c r="N8" s="162"/>
      <c r="O8" s="162"/>
      <c r="P8" s="163"/>
      <c r="Q8" s="154" t="s">
        <v>970</v>
      </c>
      <c r="R8" s="154" t="s">
        <v>971</v>
      </c>
      <c r="S8" s="18">
        <v>0.15</v>
      </c>
      <c r="T8" s="13">
        <v>0.05</v>
      </c>
      <c r="U8" s="13">
        <v>0.1</v>
      </c>
      <c r="V8" s="13">
        <v>0.15</v>
      </c>
      <c r="W8" s="13">
        <v>0.1</v>
      </c>
      <c r="X8" s="13">
        <v>0.15</v>
      </c>
      <c r="Y8" s="13">
        <v>0.15</v>
      </c>
      <c r="Z8" s="13">
        <v>0</v>
      </c>
      <c r="AA8" s="13">
        <v>0</v>
      </c>
      <c r="AB8" s="14">
        <v>0.15</v>
      </c>
      <c r="AC8" s="10" t="s">
        <v>172</v>
      </c>
    </row>
    <row r="9" spans="1:38" customFormat="1" ht="26.25" customHeight="1" thickBot="1" x14ac:dyDescent="0.35">
      <c r="A9" s="138"/>
      <c r="B9" s="138"/>
      <c r="C9" s="143"/>
      <c r="D9" s="143"/>
      <c r="E9" s="140"/>
      <c r="F9" s="140"/>
      <c r="G9" s="140"/>
      <c r="H9" s="140"/>
      <c r="I9" s="189" t="s">
        <v>964</v>
      </c>
      <c r="J9" s="155" t="s">
        <v>982</v>
      </c>
      <c r="K9" s="153" t="s">
        <v>965</v>
      </c>
      <c r="L9" s="153" t="s">
        <v>966</v>
      </c>
      <c r="M9" s="153" t="s">
        <v>967</v>
      </c>
      <c r="N9" s="153" t="s">
        <v>972</v>
      </c>
      <c r="O9" s="153" t="s">
        <v>968</v>
      </c>
      <c r="P9" s="153" t="s">
        <v>969</v>
      </c>
      <c r="Q9" s="154"/>
      <c r="R9" s="154"/>
      <c r="S9" s="2"/>
      <c r="T9" s="2"/>
      <c r="U9" s="2">
        <v>0.2</v>
      </c>
      <c r="V9" s="2">
        <v>0.3</v>
      </c>
      <c r="W9" s="2"/>
      <c r="X9" s="2"/>
      <c r="AB9" s="14">
        <v>0.5</v>
      </c>
      <c r="AC9" t="s">
        <v>919</v>
      </c>
    </row>
    <row r="10" spans="1:38" customFormat="1" ht="36.450000000000003" customHeight="1" x14ac:dyDescent="0.3">
      <c r="A10" s="138"/>
      <c r="B10" s="138"/>
      <c r="C10" s="143"/>
      <c r="D10" s="143"/>
      <c r="E10" s="145" t="s">
        <v>961</v>
      </c>
      <c r="F10" s="145" t="s">
        <v>962</v>
      </c>
      <c r="G10" s="145" t="s">
        <v>963</v>
      </c>
      <c r="H10" s="145" t="s">
        <v>962</v>
      </c>
      <c r="I10" s="189"/>
      <c r="J10" s="155"/>
      <c r="K10" s="153"/>
      <c r="L10" s="153"/>
      <c r="M10" s="153"/>
      <c r="N10" s="153"/>
      <c r="O10" s="153"/>
      <c r="P10" s="153"/>
      <c r="Q10" s="154"/>
      <c r="R10" s="154"/>
      <c r="T10" s="3"/>
      <c r="U10" s="3"/>
      <c r="V10" s="3"/>
      <c r="W10" s="3"/>
    </row>
    <row r="11" spans="1:38" customFormat="1" ht="40.5" customHeight="1" x14ac:dyDescent="0.3">
      <c r="A11" s="138"/>
      <c r="B11" s="138"/>
      <c r="C11" s="144"/>
      <c r="D11" s="144"/>
      <c r="E11" s="146"/>
      <c r="F11" s="146"/>
      <c r="G11" s="146"/>
      <c r="H11" s="146"/>
      <c r="I11" s="85">
        <v>0.15</v>
      </c>
      <c r="J11" s="85">
        <v>0.05</v>
      </c>
      <c r="K11" s="85">
        <v>0.1</v>
      </c>
      <c r="L11" s="85">
        <v>0.15</v>
      </c>
      <c r="M11" s="85">
        <v>0.1</v>
      </c>
      <c r="N11" s="85">
        <v>0.15</v>
      </c>
      <c r="O11" s="85">
        <v>0.15</v>
      </c>
      <c r="P11" s="85">
        <v>0.15</v>
      </c>
      <c r="Q11" s="190">
        <f>AVERAGE(Q13:Q30)</f>
        <v>0.91319444444444442</v>
      </c>
      <c r="R11" s="192">
        <f>AVERAGE(R13:R30)</f>
        <v>0.91944444444444451</v>
      </c>
      <c r="T11" s="3"/>
      <c r="U11" s="3"/>
      <c r="V11" s="3"/>
      <c r="W11" s="3"/>
    </row>
    <row r="12" spans="1:38" customFormat="1" ht="40.5" customHeight="1" x14ac:dyDescent="0.3">
      <c r="A12" s="90"/>
      <c r="B12" s="90"/>
      <c r="C12" s="91"/>
      <c r="D12" s="91"/>
      <c r="E12" s="92"/>
      <c r="F12" s="92"/>
      <c r="G12" s="92"/>
      <c r="H12" s="92"/>
      <c r="I12" s="93">
        <v>0</v>
      </c>
      <c r="J12" s="93">
        <v>0.05</v>
      </c>
      <c r="K12" s="93">
        <v>0.1</v>
      </c>
      <c r="L12" s="93">
        <v>0.15</v>
      </c>
      <c r="M12" s="93">
        <v>0.11</v>
      </c>
      <c r="N12" s="93">
        <v>0.2</v>
      </c>
      <c r="O12" s="93">
        <v>0.24</v>
      </c>
      <c r="P12" s="93">
        <v>0.15</v>
      </c>
      <c r="Q12" s="191"/>
      <c r="R12" s="193"/>
    </row>
    <row r="13" spans="1:38" customFormat="1" ht="65.099999999999994" customHeight="1" x14ac:dyDescent="0.3">
      <c r="A13" s="79">
        <v>8340</v>
      </c>
      <c r="B13" s="30" t="str">
        <f>IF(R13=1,"On time","Inprogress")</f>
        <v>On time</v>
      </c>
      <c r="C13" s="48" t="s">
        <v>992</v>
      </c>
      <c r="D13" s="72" t="s">
        <v>993</v>
      </c>
      <c r="E13" s="50"/>
      <c r="F13" s="50" t="s">
        <v>1091</v>
      </c>
      <c r="G13" s="50"/>
      <c r="H13" s="50" t="s">
        <v>1091</v>
      </c>
      <c r="I13" s="54"/>
      <c r="J13" s="54">
        <v>1</v>
      </c>
      <c r="K13" s="54">
        <v>1</v>
      </c>
      <c r="L13" s="54">
        <v>1</v>
      </c>
      <c r="M13" s="54">
        <v>1</v>
      </c>
      <c r="N13" s="54">
        <v>1</v>
      </c>
      <c r="O13" s="54">
        <v>1</v>
      </c>
      <c r="P13" s="54">
        <v>1</v>
      </c>
      <c r="Q13" s="55">
        <f>SUMPRODUCT($K$11:$P$11,K13:P13)/0.8</f>
        <v>1</v>
      </c>
      <c r="R13" s="55">
        <f>SUMPRODUCT($I$12:$P$12,I13:P13)</f>
        <v>1</v>
      </c>
      <c r="S13" s="5"/>
      <c r="V13" s="8"/>
      <c r="W13" s="19"/>
      <c r="X13" s="19"/>
    </row>
    <row r="14" spans="1:38" customFormat="1" ht="65.099999999999994" customHeight="1" x14ac:dyDescent="0.3">
      <c r="A14" s="79">
        <v>8140</v>
      </c>
      <c r="B14" s="30" t="str">
        <f>IF(R14=1,"On time","Inprogress")</f>
        <v>On time</v>
      </c>
      <c r="C14" s="48" t="s">
        <v>1005</v>
      </c>
      <c r="D14" s="56" t="s">
        <v>964</v>
      </c>
      <c r="E14" s="50" t="s">
        <v>1088</v>
      </c>
      <c r="F14" s="50" t="s">
        <v>1089</v>
      </c>
      <c r="G14" s="50" t="s">
        <v>1088</v>
      </c>
      <c r="H14" s="50" t="s">
        <v>1189</v>
      </c>
      <c r="I14" s="54">
        <v>1</v>
      </c>
      <c r="J14" s="54">
        <v>1</v>
      </c>
      <c r="K14" s="54">
        <v>1</v>
      </c>
      <c r="L14" s="54">
        <v>1</v>
      </c>
      <c r="M14" s="54">
        <v>1</v>
      </c>
      <c r="N14" s="54">
        <v>1</v>
      </c>
      <c r="O14" s="54">
        <v>1</v>
      </c>
      <c r="P14" s="54">
        <v>1</v>
      </c>
      <c r="Q14" s="55">
        <f>SUMPRODUCT($K$11:$P$11,K14:P14)/0.8</f>
        <v>1</v>
      </c>
      <c r="R14" s="55">
        <f>SUMPRODUCT($I$11:$P$11,I14:P14)</f>
        <v>1</v>
      </c>
      <c r="S14" s="5"/>
      <c r="V14" s="8"/>
      <c r="W14" s="19"/>
      <c r="X14" s="19"/>
    </row>
    <row r="15" spans="1:38" customFormat="1" ht="65.099999999999994" customHeight="1" x14ac:dyDescent="0.3">
      <c r="A15" s="79">
        <v>8184</v>
      </c>
      <c r="B15" s="30" t="str">
        <f>IF(R15=1,"On time","Inprogress")</f>
        <v>On time</v>
      </c>
      <c r="C15" s="48" t="s">
        <v>1071</v>
      </c>
      <c r="D15" s="57" t="s">
        <v>964</v>
      </c>
      <c r="E15" s="50" t="s">
        <v>1076</v>
      </c>
      <c r="F15" s="50" t="s">
        <v>1100</v>
      </c>
      <c r="G15" s="50" t="s">
        <v>1098</v>
      </c>
      <c r="H15" s="50" t="s">
        <v>1000</v>
      </c>
      <c r="I15" s="54">
        <v>1</v>
      </c>
      <c r="J15" s="54">
        <v>1</v>
      </c>
      <c r="K15" s="54">
        <v>1</v>
      </c>
      <c r="L15" s="54">
        <v>1</v>
      </c>
      <c r="M15" s="54">
        <v>1</v>
      </c>
      <c r="N15" s="54">
        <v>1</v>
      </c>
      <c r="O15" s="54">
        <v>1</v>
      </c>
      <c r="P15" s="54">
        <v>1</v>
      </c>
      <c r="Q15" s="55">
        <f>SUMPRODUCT($K$11:$P$11,K15:P15)/0.8</f>
        <v>1</v>
      </c>
      <c r="R15" s="55">
        <f>SUMPRODUCT($I$11:$P$11,I15:P15)</f>
        <v>1</v>
      </c>
      <c r="S15" s="5"/>
      <c r="V15" s="8"/>
      <c r="W15" s="19"/>
      <c r="X15" s="19"/>
    </row>
    <row r="16" spans="1:38" customFormat="1" ht="65.099999999999994" customHeight="1" x14ac:dyDescent="0.3">
      <c r="A16" s="89">
        <v>8169</v>
      </c>
      <c r="B16" s="30" t="str">
        <f t="shared" ref="B16:B32" si="0">IF(R16=1,"On time","Inprogress")</f>
        <v>On time</v>
      </c>
      <c r="C16" s="48" t="s">
        <v>997</v>
      </c>
      <c r="D16" s="56" t="s">
        <v>964</v>
      </c>
      <c r="E16" s="50" t="s">
        <v>1080</v>
      </c>
      <c r="F16" s="50" t="s">
        <v>1094</v>
      </c>
      <c r="G16" s="50" t="s">
        <v>1080</v>
      </c>
      <c r="H16" s="50" t="s">
        <v>1085</v>
      </c>
      <c r="I16" s="54">
        <v>1</v>
      </c>
      <c r="J16" s="54">
        <v>1</v>
      </c>
      <c r="K16" s="54">
        <v>1</v>
      </c>
      <c r="L16" s="54">
        <v>1</v>
      </c>
      <c r="M16" s="54">
        <v>1</v>
      </c>
      <c r="N16" s="54">
        <v>1</v>
      </c>
      <c r="O16" s="54">
        <v>1</v>
      </c>
      <c r="P16" s="54">
        <v>1</v>
      </c>
      <c r="Q16" s="55">
        <f t="shared" ref="Q16:Q32" si="1">SUMPRODUCT($K$11:$P$11,K16:P16)/0.8</f>
        <v>1</v>
      </c>
      <c r="R16" s="55">
        <f t="shared" ref="R16:R30" si="2">SUMPRODUCT($I$11:$P$11,I16:P16)</f>
        <v>1</v>
      </c>
      <c r="S16" s="5"/>
      <c r="V16" s="8"/>
      <c r="W16" s="19"/>
      <c r="X16" s="19"/>
    </row>
    <row r="17" spans="1:24" customFormat="1" ht="65.099999999999994" customHeight="1" x14ac:dyDescent="0.3">
      <c r="A17" s="89">
        <v>8139</v>
      </c>
      <c r="B17" s="30" t="str">
        <f t="shared" si="0"/>
        <v>On time</v>
      </c>
      <c r="C17" s="48" t="s">
        <v>1006</v>
      </c>
      <c r="D17" s="56" t="s">
        <v>964</v>
      </c>
      <c r="E17" s="50" t="s">
        <v>1066</v>
      </c>
      <c r="F17" s="50" t="s">
        <v>1089</v>
      </c>
      <c r="G17" s="50" t="s">
        <v>1066</v>
      </c>
      <c r="H17" s="50" t="s">
        <v>1085</v>
      </c>
      <c r="I17" s="54">
        <v>1</v>
      </c>
      <c r="J17" s="54">
        <v>1</v>
      </c>
      <c r="K17" s="54">
        <v>1</v>
      </c>
      <c r="L17" s="54">
        <v>1</v>
      </c>
      <c r="M17" s="54">
        <v>1</v>
      </c>
      <c r="N17" s="54">
        <v>1</v>
      </c>
      <c r="O17" s="54">
        <v>1</v>
      </c>
      <c r="P17" s="54">
        <v>1</v>
      </c>
      <c r="Q17" s="55">
        <f t="shared" si="1"/>
        <v>1</v>
      </c>
      <c r="R17" s="55">
        <f t="shared" si="2"/>
        <v>1</v>
      </c>
      <c r="S17" s="5"/>
      <c r="V17" s="8"/>
      <c r="W17" s="19"/>
      <c r="X17" s="19"/>
    </row>
    <row r="18" spans="1:24" customFormat="1" ht="65.099999999999994" customHeight="1" x14ac:dyDescent="0.3">
      <c r="A18" s="79">
        <v>8188</v>
      </c>
      <c r="B18" s="30" t="str">
        <f>IF(R18=1,"On time","Inprogress")</f>
        <v>On time</v>
      </c>
      <c r="C18" s="48" t="s">
        <v>1073</v>
      </c>
      <c r="D18" s="57" t="s">
        <v>964</v>
      </c>
      <c r="E18" s="50" t="s">
        <v>1098</v>
      </c>
      <c r="F18" s="50" t="s">
        <v>953</v>
      </c>
      <c r="G18" s="50" t="s">
        <v>1098</v>
      </c>
      <c r="H18" s="50" t="s">
        <v>1000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5">
        <f>SUMPRODUCT($K$11:$P$11,K18:P18)/0.8</f>
        <v>1</v>
      </c>
      <c r="R18" s="55">
        <f>SUMPRODUCT($I$11:$P$11,I18:P18)</f>
        <v>1</v>
      </c>
      <c r="S18" s="5"/>
      <c r="V18" s="8"/>
      <c r="W18" s="19"/>
      <c r="X18" s="19"/>
    </row>
    <row r="19" spans="1:24" customFormat="1" ht="65.099999999999994" customHeight="1" x14ac:dyDescent="0.3">
      <c r="A19" s="79">
        <v>8167</v>
      </c>
      <c r="B19" s="30" t="str">
        <f>IF(R19=1,"On time","Inprogress")</f>
        <v>On time</v>
      </c>
      <c r="C19" s="48" t="s">
        <v>999</v>
      </c>
      <c r="D19" s="56" t="s">
        <v>964</v>
      </c>
      <c r="E19" s="50" t="s">
        <v>1000</v>
      </c>
      <c r="F19" s="50" t="s">
        <v>1001</v>
      </c>
      <c r="G19" s="50" t="s">
        <v>1000</v>
      </c>
      <c r="H19" s="50" t="s">
        <v>1087</v>
      </c>
      <c r="I19" s="54">
        <v>1</v>
      </c>
      <c r="J19" s="54">
        <v>1</v>
      </c>
      <c r="K19" s="54">
        <v>1</v>
      </c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5">
        <f>SUMPRODUCT($K$11:$P$11,K19:P19)/0.8</f>
        <v>1</v>
      </c>
      <c r="R19" s="55">
        <f>SUMPRODUCT($I$11:$P$11,I19:P19)</f>
        <v>1</v>
      </c>
      <c r="S19" s="5"/>
      <c r="V19" s="8"/>
      <c r="W19" s="19"/>
      <c r="X19" s="19"/>
    </row>
    <row r="20" spans="1:24" customFormat="1" ht="65.099999999999994" customHeight="1" x14ac:dyDescent="0.3">
      <c r="A20" s="79">
        <v>8166</v>
      </c>
      <c r="B20" s="30" t="str">
        <f>IF(R20=1,"On time","Inprogress")</f>
        <v>On time</v>
      </c>
      <c r="C20" s="48" t="s">
        <v>1002</v>
      </c>
      <c r="D20" s="56" t="s">
        <v>964</v>
      </c>
      <c r="E20" s="50" t="s">
        <v>1000</v>
      </c>
      <c r="F20" s="50" t="s">
        <v>1001</v>
      </c>
      <c r="G20" s="50" t="s">
        <v>1000</v>
      </c>
      <c r="H20" s="50" t="s">
        <v>1087</v>
      </c>
      <c r="I20" s="54">
        <v>1</v>
      </c>
      <c r="J20" s="54">
        <v>1</v>
      </c>
      <c r="K20" s="54">
        <v>1</v>
      </c>
      <c r="L20" s="54">
        <v>1</v>
      </c>
      <c r="M20" s="54">
        <v>1</v>
      </c>
      <c r="N20" s="54">
        <v>1</v>
      </c>
      <c r="O20" s="54">
        <v>1</v>
      </c>
      <c r="P20" s="54">
        <v>1</v>
      </c>
      <c r="Q20" s="55">
        <f>SUMPRODUCT($K$11:$P$11,K20:P20)/0.8</f>
        <v>1</v>
      </c>
      <c r="R20" s="55">
        <f>SUMPRODUCT($I$11:$P$11,I20:P20)</f>
        <v>1</v>
      </c>
      <c r="S20" s="5"/>
      <c r="V20" s="8"/>
      <c r="W20" s="19"/>
      <c r="X20" s="19"/>
    </row>
    <row r="21" spans="1:24" customFormat="1" ht="65.099999999999994" customHeight="1" x14ac:dyDescent="0.3">
      <c r="A21" s="79">
        <v>8187</v>
      </c>
      <c r="B21" s="30" t="str">
        <f>IF(R21=1,"On time","Inprogress")</f>
        <v>On time</v>
      </c>
      <c r="C21" s="48" t="s">
        <v>1054</v>
      </c>
      <c r="D21" s="57" t="s">
        <v>964</v>
      </c>
      <c r="E21" s="50" t="s">
        <v>953</v>
      </c>
      <c r="F21" s="50" t="s">
        <v>1001</v>
      </c>
      <c r="G21" s="50" t="s">
        <v>953</v>
      </c>
      <c r="H21" s="50" t="s">
        <v>1112</v>
      </c>
      <c r="I21" s="54">
        <v>1</v>
      </c>
      <c r="J21" s="54">
        <v>1</v>
      </c>
      <c r="K21" s="54">
        <v>1</v>
      </c>
      <c r="L21" s="54">
        <v>1</v>
      </c>
      <c r="M21" s="54">
        <v>1</v>
      </c>
      <c r="N21" s="54">
        <v>1</v>
      </c>
      <c r="O21" s="54">
        <v>1</v>
      </c>
      <c r="P21" s="54">
        <v>1</v>
      </c>
      <c r="Q21" s="55">
        <f>SUMPRODUCT($K$11:$P$11,K21:P21)/0.8</f>
        <v>1</v>
      </c>
      <c r="R21" s="55">
        <f>SUMPRODUCT($I$11:$P$11,I21:P21)</f>
        <v>1</v>
      </c>
      <c r="S21" s="5"/>
      <c r="V21" s="8"/>
      <c r="W21" s="19"/>
      <c r="X21" s="19"/>
    </row>
    <row r="22" spans="1:24" customFormat="1" ht="65.099999999999994" customHeight="1" x14ac:dyDescent="0.3">
      <c r="A22" s="79">
        <v>8185</v>
      </c>
      <c r="B22" s="30" t="str">
        <f>IF(R22=1,"On time","Inprogress")</f>
        <v>On time</v>
      </c>
      <c r="C22" s="48" t="s">
        <v>1072</v>
      </c>
      <c r="D22" s="57" t="s">
        <v>964</v>
      </c>
      <c r="E22" s="50" t="s">
        <v>1088</v>
      </c>
      <c r="F22" s="50" t="s">
        <v>1001</v>
      </c>
      <c r="G22" s="50" t="s">
        <v>1088</v>
      </c>
      <c r="H22" s="50" t="s">
        <v>1112</v>
      </c>
      <c r="I22" s="54">
        <v>1</v>
      </c>
      <c r="J22" s="54">
        <v>1</v>
      </c>
      <c r="K22" s="54">
        <v>1</v>
      </c>
      <c r="L22" s="54">
        <v>1</v>
      </c>
      <c r="M22" s="54">
        <v>1</v>
      </c>
      <c r="N22" s="54">
        <v>1</v>
      </c>
      <c r="O22" s="54">
        <v>1</v>
      </c>
      <c r="P22" s="54">
        <v>1</v>
      </c>
      <c r="Q22" s="55">
        <f>SUMPRODUCT($K$11:$P$11,K22:P22)/0.8</f>
        <v>1</v>
      </c>
      <c r="R22" s="55">
        <f>SUMPRODUCT($I$11:$P$11,I22:P22)</f>
        <v>1</v>
      </c>
      <c r="S22" s="5"/>
      <c r="V22" s="8"/>
      <c r="W22" s="19"/>
      <c r="X22" s="19"/>
    </row>
    <row r="23" spans="1:24" customFormat="1" ht="64.5" customHeight="1" x14ac:dyDescent="0.3">
      <c r="A23" s="79">
        <v>8170</v>
      </c>
      <c r="B23" s="30" t="str">
        <f t="shared" si="0"/>
        <v>On time</v>
      </c>
      <c r="C23" s="57" t="s">
        <v>1068</v>
      </c>
      <c r="D23" s="56" t="s">
        <v>964</v>
      </c>
      <c r="E23" s="50" t="s">
        <v>1018</v>
      </c>
      <c r="F23" s="50" t="s">
        <v>1096</v>
      </c>
      <c r="G23" s="50" t="s">
        <v>1018</v>
      </c>
      <c r="H23" s="50" t="s">
        <v>1112</v>
      </c>
      <c r="I23" s="54">
        <v>1</v>
      </c>
      <c r="J23" s="54">
        <v>1</v>
      </c>
      <c r="K23" s="54">
        <v>1</v>
      </c>
      <c r="L23" s="54">
        <v>1</v>
      </c>
      <c r="M23" s="54">
        <v>1</v>
      </c>
      <c r="N23" s="54">
        <v>1</v>
      </c>
      <c r="O23" s="54">
        <v>1</v>
      </c>
      <c r="P23" s="54">
        <v>1</v>
      </c>
      <c r="Q23" s="55">
        <f t="shared" si="1"/>
        <v>1</v>
      </c>
      <c r="R23" s="55">
        <f t="shared" si="2"/>
        <v>1</v>
      </c>
      <c r="W23" s="4"/>
      <c r="X23" s="4"/>
    </row>
    <row r="24" spans="1:24" s="33" customFormat="1" ht="65.099999999999994" customHeight="1" x14ac:dyDescent="0.3">
      <c r="A24" s="79">
        <v>8168</v>
      </c>
      <c r="B24" s="30" t="str">
        <f t="shared" si="0"/>
        <v>On time</v>
      </c>
      <c r="C24" s="48" t="s">
        <v>998</v>
      </c>
      <c r="D24" s="56" t="s">
        <v>964</v>
      </c>
      <c r="E24" s="50" t="s">
        <v>1082</v>
      </c>
      <c r="F24" s="50" t="s">
        <v>1097</v>
      </c>
      <c r="G24" s="50" t="s">
        <v>1082</v>
      </c>
      <c r="H24" s="50" t="s">
        <v>1112</v>
      </c>
      <c r="I24" s="54">
        <v>1</v>
      </c>
      <c r="J24" s="54">
        <v>1</v>
      </c>
      <c r="K24" s="54">
        <v>1</v>
      </c>
      <c r="L24" s="54">
        <v>1</v>
      </c>
      <c r="M24" s="54">
        <v>1</v>
      </c>
      <c r="N24" s="54">
        <v>1</v>
      </c>
      <c r="O24" s="54">
        <v>1</v>
      </c>
      <c r="P24" s="54">
        <v>1</v>
      </c>
      <c r="Q24" s="55">
        <f t="shared" si="1"/>
        <v>1</v>
      </c>
      <c r="R24" s="55">
        <f t="shared" si="2"/>
        <v>1</v>
      </c>
      <c r="S24" s="32"/>
      <c r="V24" s="34"/>
      <c r="W24" s="35"/>
      <c r="X24" s="35"/>
    </row>
    <row r="25" spans="1:24" customFormat="1" ht="65.099999999999994" customHeight="1" x14ac:dyDescent="0.3">
      <c r="A25" s="79">
        <v>8186</v>
      </c>
      <c r="B25" s="30" t="str">
        <f>IF(R25=1,"On time","Inprogress")</f>
        <v>Inprogress</v>
      </c>
      <c r="C25" s="48" t="s">
        <v>1055</v>
      </c>
      <c r="D25" s="57" t="s">
        <v>964</v>
      </c>
      <c r="E25" s="50" t="s">
        <v>1099</v>
      </c>
      <c r="F25" s="50" t="s">
        <v>1089</v>
      </c>
      <c r="G25" s="50" t="s">
        <v>1099</v>
      </c>
      <c r="H25" s="50"/>
      <c r="I25" s="54">
        <v>1</v>
      </c>
      <c r="J25" s="54">
        <v>1</v>
      </c>
      <c r="K25" s="54">
        <v>1</v>
      </c>
      <c r="L25" s="54">
        <v>1</v>
      </c>
      <c r="M25" s="54">
        <v>1</v>
      </c>
      <c r="N25" s="54">
        <v>0</v>
      </c>
      <c r="O25" s="54">
        <v>0</v>
      </c>
      <c r="P25" s="54">
        <v>0</v>
      </c>
      <c r="Q25" s="55">
        <f t="shared" ref="Q25" si="3">SUMPRODUCT($K$11:$P$11,K25:P25)/0.8</f>
        <v>0.43749999999999994</v>
      </c>
      <c r="R25" s="55">
        <f t="shared" ref="R25" si="4">SUMPRODUCT($I$11:$P$11,I25:P25)</f>
        <v>0.55000000000000004</v>
      </c>
      <c r="S25" s="5"/>
      <c r="V25" s="8"/>
      <c r="W25" s="19"/>
      <c r="X25" s="19"/>
    </row>
    <row r="26" spans="1:24" customFormat="1" ht="65.099999999999994" customHeight="1" x14ac:dyDescent="0.3">
      <c r="A26" s="79">
        <v>8189</v>
      </c>
      <c r="B26" s="30" t="str">
        <f>IF(R26=1,"On time","Inprogress")</f>
        <v>On time</v>
      </c>
      <c r="C26" s="48" t="s">
        <v>1074</v>
      </c>
      <c r="D26" s="57" t="s">
        <v>964</v>
      </c>
      <c r="E26" s="50" t="s">
        <v>1000</v>
      </c>
      <c r="F26" s="50" t="s">
        <v>1018</v>
      </c>
      <c r="G26" s="50" t="s">
        <v>1083</v>
      </c>
      <c r="H26" s="50" t="s">
        <v>1189</v>
      </c>
      <c r="I26" s="54">
        <v>1</v>
      </c>
      <c r="J26" s="54">
        <v>1</v>
      </c>
      <c r="K26" s="54">
        <v>1</v>
      </c>
      <c r="L26" s="54">
        <v>1</v>
      </c>
      <c r="M26" s="54">
        <v>1</v>
      </c>
      <c r="N26" s="54">
        <v>1</v>
      </c>
      <c r="O26" s="54">
        <v>1</v>
      </c>
      <c r="P26" s="54">
        <v>1</v>
      </c>
      <c r="Q26" s="55">
        <f>SUMPRODUCT($K$11:$P$11,K26:P26)/0.8</f>
        <v>1</v>
      </c>
      <c r="R26" s="55">
        <f>SUMPRODUCT($I$12:$P$12,I26:P26)</f>
        <v>1</v>
      </c>
      <c r="S26" s="5"/>
      <c r="V26" s="8"/>
      <c r="W26" s="19"/>
      <c r="X26" s="19"/>
    </row>
    <row r="27" spans="1:24" customFormat="1" ht="65.099999999999994" customHeight="1" x14ac:dyDescent="0.3">
      <c r="A27" s="79">
        <v>8142</v>
      </c>
      <c r="B27" s="30" t="str">
        <f>IF(R27=1,"On time","Inprogress")</f>
        <v>On time</v>
      </c>
      <c r="C27" s="48" t="s">
        <v>1003</v>
      </c>
      <c r="D27" s="56" t="s">
        <v>964</v>
      </c>
      <c r="E27" s="50" t="s">
        <v>1077</v>
      </c>
      <c r="F27" s="50" t="s">
        <v>1096</v>
      </c>
      <c r="G27" s="50" t="s">
        <v>1077</v>
      </c>
      <c r="H27" s="50" t="s">
        <v>1189</v>
      </c>
      <c r="I27" s="54">
        <v>1</v>
      </c>
      <c r="J27" s="54">
        <v>1</v>
      </c>
      <c r="K27" s="54">
        <v>1</v>
      </c>
      <c r="L27" s="54">
        <v>1</v>
      </c>
      <c r="M27" s="54">
        <v>1</v>
      </c>
      <c r="N27" s="54">
        <v>1</v>
      </c>
      <c r="O27" s="54">
        <v>1</v>
      </c>
      <c r="P27" s="54">
        <v>1</v>
      </c>
      <c r="Q27" s="55">
        <f>SUMPRODUCT($K$11:$P$11,K27:P27)/0.8</f>
        <v>1</v>
      </c>
      <c r="R27" s="55">
        <f>SUMPRODUCT($I$11:$P$11,I27:P27)</f>
        <v>1</v>
      </c>
      <c r="S27" s="5"/>
      <c r="V27" s="8"/>
      <c r="W27" s="19"/>
      <c r="X27" s="19"/>
    </row>
    <row r="28" spans="1:24" customFormat="1" ht="65.099999999999994" customHeight="1" x14ac:dyDescent="0.3">
      <c r="A28" s="79">
        <v>8164</v>
      </c>
      <c r="B28" s="30" t="str">
        <f t="shared" si="0"/>
        <v>Inprogress</v>
      </c>
      <c r="C28" s="48" t="s">
        <v>1010</v>
      </c>
      <c r="D28" s="56" t="s">
        <v>964</v>
      </c>
      <c r="E28" s="50" t="s">
        <v>1085</v>
      </c>
      <c r="F28" s="50" t="s">
        <v>1096</v>
      </c>
      <c r="G28" s="50"/>
      <c r="H28" s="50"/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54">
        <v>0</v>
      </c>
      <c r="P28" s="54">
        <v>0</v>
      </c>
      <c r="Q28" s="55">
        <f t="shared" si="1"/>
        <v>0</v>
      </c>
      <c r="R28" s="55">
        <f t="shared" si="2"/>
        <v>0</v>
      </c>
      <c r="S28" s="5"/>
      <c r="V28" s="8"/>
      <c r="W28" s="19"/>
      <c r="X28" s="19"/>
    </row>
    <row r="29" spans="1:24" customFormat="1" ht="65.099999999999994" customHeight="1" x14ac:dyDescent="0.3">
      <c r="A29" s="79">
        <v>8141</v>
      </c>
      <c r="B29" s="30" t="str">
        <f t="shared" si="0"/>
        <v>On time</v>
      </c>
      <c r="C29" s="48" t="s">
        <v>1004</v>
      </c>
      <c r="D29" s="57" t="s">
        <v>993</v>
      </c>
      <c r="E29" s="50"/>
      <c r="F29" s="50" t="s">
        <v>1077</v>
      </c>
      <c r="G29" s="50"/>
      <c r="H29" s="50" t="s">
        <v>1114</v>
      </c>
      <c r="I29" s="54">
        <v>1</v>
      </c>
      <c r="J29" s="54">
        <v>1</v>
      </c>
      <c r="K29" s="54">
        <v>1</v>
      </c>
      <c r="L29" s="54">
        <v>1</v>
      </c>
      <c r="M29" s="54">
        <v>1</v>
      </c>
      <c r="N29" s="54">
        <v>1</v>
      </c>
      <c r="O29" s="54">
        <v>1</v>
      </c>
      <c r="P29" s="54">
        <v>1</v>
      </c>
      <c r="Q29" s="55">
        <f t="shared" si="1"/>
        <v>1</v>
      </c>
      <c r="R29" s="55">
        <f t="shared" si="2"/>
        <v>1</v>
      </c>
      <c r="S29" s="5"/>
      <c r="V29" s="8"/>
      <c r="W29" s="19"/>
      <c r="X29" s="19"/>
    </row>
    <row r="30" spans="1:24" customFormat="1" ht="65.099999999999994" customHeight="1" x14ac:dyDescent="0.3">
      <c r="A30" s="79">
        <v>8137</v>
      </c>
      <c r="B30" s="30" t="str">
        <f t="shared" si="0"/>
        <v>On time</v>
      </c>
      <c r="C30" s="48" t="s">
        <v>1008</v>
      </c>
      <c r="D30" s="56" t="s">
        <v>964</v>
      </c>
      <c r="E30" s="50" t="s">
        <v>1117</v>
      </c>
      <c r="F30" s="50" t="s">
        <v>1096</v>
      </c>
      <c r="G30" s="50" t="s">
        <v>1117</v>
      </c>
      <c r="H30" s="50" t="s">
        <v>1112</v>
      </c>
      <c r="I30" s="54">
        <v>1</v>
      </c>
      <c r="J30" s="54">
        <v>1</v>
      </c>
      <c r="K30" s="54">
        <v>1</v>
      </c>
      <c r="L30" s="54">
        <v>1</v>
      </c>
      <c r="M30" s="54">
        <v>1</v>
      </c>
      <c r="N30" s="54">
        <v>1</v>
      </c>
      <c r="O30" s="54">
        <v>1</v>
      </c>
      <c r="P30" s="54">
        <v>1</v>
      </c>
      <c r="Q30" s="55">
        <f t="shared" si="1"/>
        <v>1</v>
      </c>
      <c r="R30" s="55">
        <f t="shared" si="2"/>
        <v>1</v>
      </c>
      <c r="S30" s="5"/>
      <c r="V30" s="8"/>
      <c r="W30" s="19"/>
      <c r="X30" s="19"/>
    </row>
    <row r="31" spans="1:24" ht="65.099999999999994" customHeight="1" x14ac:dyDescent="0.3">
      <c r="A31" s="110">
        <v>8441</v>
      </c>
      <c r="B31" s="30" t="str">
        <f t="shared" si="0"/>
        <v>On time</v>
      </c>
      <c r="C31" s="48" t="s">
        <v>1182</v>
      </c>
      <c r="D31" s="47" t="s">
        <v>993</v>
      </c>
      <c r="E31" s="50"/>
      <c r="F31" s="50" t="s">
        <v>1183</v>
      </c>
      <c r="G31" s="50"/>
      <c r="H31" s="50" t="s">
        <v>1184</v>
      </c>
      <c r="I31" s="112">
        <v>0</v>
      </c>
      <c r="J31" s="112">
        <v>1</v>
      </c>
      <c r="K31" s="112">
        <v>1</v>
      </c>
      <c r="L31" s="112">
        <v>1</v>
      </c>
      <c r="M31" s="112">
        <v>1</v>
      </c>
      <c r="N31" s="112">
        <v>1</v>
      </c>
      <c r="O31" s="112">
        <v>1</v>
      </c>
      <c r="P31" s="112">
        <v>1</v>
      </c>
      <c r="Q31" s="55">
        <f t="shared" si="1"/>
        <v>1</v>
      </c>
      <c r="R31" s="55">
        <v>1</v>
      </c>
    </row>
    <row r="32" spans="1:24" ht="65.099999999999994" customHeight="1" x14ac:dyDescent="0.3">
      <c r="A32" s="110">
        <v>8442</v>
      </c>
      <c r="B32" s="30" t="str">
        <f t="shared" si="0"/>
        <v>On time</v>
      </c>
      <c r="C32" s="48" t="s">
        <v>1185</v>
      </c>
      <c r="D32" s="47" t="s">
        <v>993</v>
      </c>
      <c r="E32" s="50"/>
      <c r="F32" s="50" t="s">
        <v>1183</v>
      </c>
      <c r="G32" s="50"/>
      <c r="H32" s="50" t="s">
        <v>1184</v>
      </c>
      <c r="I32" s="112">
        <v>0</v>
      </c>
      <c r="J32" s="112">
        <v>1</v>
      </c>
      <c r="K32" s="112">
        <v>1</v>
      </c>
      <c r="L32" s="112">
        <v>1</v>
      </c>
      <c r="M32" s="112">
        <v>1</v>
      </c>
      <c r="N32" s="112">
        <v>1</v>
      </c>
      <c r="O32" s="112">
        <v>1</v>
      </c>
      <c r="P32" s="112">
        <v>1</v>
      </c>
      <c r="Q32" s="55">
        <f t="shared" si="1"/>
        <v>1</v>
      </c>
      <c r="R32" s="55">
        <v>1</v>
      </c>
    </row>
    <row r="33" spans="1:38" ht="65.099999999999994" customHeight="1" x14ac:dyDescent="0.3">
      <c r="A33" s="113">
        <v>7845</v>
      </c>
      <c r="B33" s="30" t="str">
        <f t="shared" ref="B33" si="5">IF(R33=1,"On time","Inprogress")</f>
        <v>On time</v>
      </c>
      <c r="C33" s="48" t="s">
        <v>1042</v>
      </c>
      <c r="D33" s="47" t="s">
        <v>964</v>
      </c>
      <c r="E33" s="50"/>
      <c r="F33" s="50"/>
      <c r="G33" s="50"/>
      <c r="H33" s="50" t="s">
        <v>1189</v>
      </c>
      <c r="I33" s="112">
        <v>1</v>
      </c>
      <c r="J33" s="112">
        <v>1</v>
      </c>
      <c r="K33" s="112">
        <v>1</v>
      </c>
      <c r="L33" s="112">
        <v>1</v>
      </c>
      <c r="M33" s="112">
        <v>1</v>
      </c>
      <c r="N33" s="112">
        <v>1</v>
      </c>
      <c r="O33" s="112">
        <v>1</v>
      </c>
      <c r="P33" s="112">
        <v>1</v>
      </c>
      <c r="Q33" s="55">
        <f t="shared" ref="Q33" si="6">SUMPRODUCT($K$11:$P$11,K33:P33)/0.8</f>
        <v>1</v>
      </c>
      <c r="R33" s="55">
        <v>1</v>
      </c>
    </row>
    <row r="34" spans="1:38" ht="60" customHeight="1" x14ac:dyDescent="0.3">
      <c r="A34" s="113">
        <v>7864</v>
      </c>
      <c r="B34" s="30"/>
      <c r="C34" s="48" t="s">
        <v>1023</v>
      </c>
      <c r="D34" s="47" t="s">
        <v>964</v>
      </c>
      <c r="E34" s="50"/>
      <c r="F34" s="50"/>
      <c r="G34" s="50"/>
      <c r="H34" s="50"/>
      <c r="I34" s="112">
        <v>1</v>
      </c>
      <c r="J34" s="112">
        <v>1</v>
      </c>
      <c r="K34" s="112">
        <v>1</v>
      </c>
      <c r="L34" s="112">
        <v>1</v>
      </c>
      <c r="M34" s="112">
        <v>1</v>
      </c>
      <c r="N34" s="112">
        <v>1</v>
      </c>
      <c r="O34" s="112"/>
      <c r="P34" s="112"/>
      <c r="Q34" s="55"/>
      <c r="R34" s="55"/>
    </row>
    <row r="35" spans="1:38" ht="60" customHeight="1" x14ac:dyDescent="0.3">
      <c r="A35" s="113">
        <v>7846</v>
      </c>
      <c r="B35" s="30"/>
      <c r="C35" s="48" t="s">
        <v>1035</v>
      </c>
      <c r="D35" s="47" t="s">
        <v>964</v>
      </c>
      <c r="E35" s="50"/>
      <c r="F35" s="50"/>
      <c r="G35" s="50"/>
      <c r="H35" s="50"/>
      <c r="I35" s="112">
        <v>1</v>
      </c>
      <c r="J35" s="112">
        <v>1</v>
      </c>
      <c r="K35" s="112">
        <v>1</v>
      </c>
      <c r="L35" s="112">
        <v>1</v>
      </c>
      <c r="M35" s="112">
        <v>1</v>
      </c>
      <c r="N35" s="112">
        <v>1</v>
      </c>
      <c r="O35" s="112"/>
      <c r="P35" s="112"/>
      <c r="Q35" s="55"/>
      <c r="R35" s="55"/>
    </row>
    <row r="36" spans="1:38" x14ac:dyDescent="0.3">
      <c r="F36" s="25"/>
      <c r="G36" s="25"/>
    </row>
    <row r="37" spans="1:38" x14ac:dyDescent="0.3">
      <c r="F37" s="25"/>
      <c r="G37" s="25"/>
    </row>
    <row r="38" spans="1:38" x14ac:dyDescent="0.3">
      <c r="F38" s="25"/>
      <c r="G38" s="25"/>
    </row>
    <row r="39" spans="1:38" x14ac:dyDescent="0.3">
      <c r="F39" s="25"/>
      <c r="G39" s="25"/>
    </row>
    <row r="40" spans="1:38" x14ac:dyDescent="0.3">
      <c r="F40" s="25"/>
      <c r="G40" s="25"/>
    </row>
    <row r="41" spans="1:38" x14ac:dyDescent="0.3">
      <c r="F41" s="25"/>
      <c r="G41" s="25"/>
    </row>
    <row r="42" spans="1:38" s="27" customFormat="1" x14ac:dyDescent="0.3">
      <c r="A42" s="20"/>
      <c r="B42" s="21"/>
      <c r="C42" s="22"/>
      <c r="D42" s="22"/>
      <c r="E42" s="24"/>
      <c r="F42" s="25"/>
      <c r="G42" s="25"/>
      <c r="H42" s="24"/>
      <c r="K42" s="28"/>
      <c r="L42" s="28"/>
      <c r="M42" s="28"/>
      <c r="N42" s="28"/>
      <c r="O42" s="28"/>
      <c r="P42" s="28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1:38" s="27" customFormat="1" x14ac:dyDescent="0.3">
      <c r="A43" s="20"/>
      <c r="B43" s="21"/>
      <c r="C43" s="22"/>
      <c r="D43" s="22"/>
      <c r="E43" s="24"/>
      <c r="F43" s="25"/>
      <c r="G43" s="25"/>
      <c r="H43" s="24"/>
      <c r="K43" s="28"/>
      <c r="L43" s="28"/>
      <c r="M43" s="28"/>
      <c r="N43" s="28"/>
      <c r="O43" s="28"/>
      <c r="P43" s="28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1:38" s="27" customFormat="1" x14ac:dyDescent="0.3">
      <c r="A44" s="20"/>
      <c r="B44" s="21"/>
      <c r="C44" s="22"/>
      <c r="D44" s="22"/>
      <c r="E44" s="24"/>
      <c r="F44" s="25"/>
      <c r="G44" s="25"/>
      <c r="H44" s="24"/>
      <c r="K44" s="28"/>
      <c r="L44" s="28"/>
      <c r="M44" s="28"/>
      <c r="N44" s="28"/>
      <c r="O44" s="28"/>
      <c r="P44" s="28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1:38" s="27" customFormat="1" x14ac:dyDescent="0.3">
      <c r="A45" s="20"/>
      <c r="B45" s="21"/>
      <c r="C45" s="22"/>
      <c r="D45" s="22"/>
      <c r="E45" s="24"/>
      <c r="F45" s="25"/>
      <c r="G45" s="25"/>
      <c r="H45" s="24"/>
      <c r="K45" s="28"/>
      <c r="L45" s="28"/>
      <c r="M45" s="28"/>
      <c r="N45" s="28"/>
      <c r="O45" s="28"/>
      <c r="P45" s="28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1:38" s="27" customFormat="1" x14ac:dyDescent="0.3">
      <c r="A46" s="20"/>
      <c r="B46" s="21"/>
      <c r="C46" s="22"/>
      <c r="D46" s="22"/>
      <c r="E46" s="24"/>
      <c r="F46" s="25"/>
      <c r="G46" s="25"/>
      <c r="H46" s="24"/>
      <c r="K46" s="28"/>
      <c r="L46" s="28"/>
      <c r="M46" s="28"/>
      <c r="N46" s="28"/>
      <c r="O46" s="28"/>
      <c r="P46" s="28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1:38" s="27" customFormat="1" x14ac:dyDescent="0.3">
      <c r="A47" s="20"/>
      <c r="B47" s="21"/>
      <c r="C47" s="22"/>
      <c r="D47" s="22"/>
      <c r="E47" s="24"/>
      <c r="F47" s="25"/>
      <c r="G47" s="25"/>
      <c r="H47" s="24"/>
      <c r="K47" s="28"/>
      <c r="L47" s="28"/>
      <c r="M47" s="28"/>
      <c r="N47" s="28"/>
      <c r="O47" s="28"/>
      <c r="P47" s="28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1:38" s="27" customFormat="1" x14ac:dyDescent="0.3">
      <c r="A48" s="20"/>
      <c r="B48" s="21"/>
      <c r="C48" s="22"/>
      <c r="D48" s="22"/>
      <c r="E48" s="24"/>
      <c r="F48" s="25"/>
      <c r="G48" s="25"/>
      <c r="H48" s="24"/>
      <c r="K48" s="28"/>
      <c r="L48" s="28"/>
      <c r="M48" s="28"/>
      <c r="N48" s="28"/>
      <c r="O48" s="28"/>
      <c r="P48" s="28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1:38" s="27" customFormat="1" x14ac:dyDescent="0.3">
      <c r="A49" s="20"/>
      <c r="B49" s="21"/>
      <c r="C49" s="22"/>
      <c r="D49" s="22"/>
      <c r="E49" s="24"/>
      <c r="F49" s="25"/>
      <c r="G49" s="25"/>
      <c r="H49" s="24"/>
      <c r="K49" s="28"/>
      <c r="L49" s="28"/>
      <c r="M49" s="28"/>
      <c r="N49" s="28"/>
      <c r="O49" s="28"/>
      <c r="P49" s="28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1:38" s="27" customFormat="1" x14ac:dyDescent="0.3">
      <c r="A50" s="20"/>
      <c r="B50" s="21"/>
      <c r="C50" s="22"/>
      <c r="D50" s="22"/>
      <c r="E50" s="24"/>
      <c r="F50" s="25"/>
      <c r="G50" s="25"/>
      <c r="H50" s="24"/>
      <c r="K50" s="28"/>
      <c r="L50" s="28"/>
      <c r="M50" s="28"/>
      <c r="N50" s="28"/>
      <c r="O50" s="28"/>
      <c r="P50" s="28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1:38" s="27" customFormat="1" x14ac:dyDescent="0.3">
      <c r="A51" s="20"/>
      <c r="B51" s="21"/>
      <c r="C51" s="22"/>
      <c r="D51" s="22"/>
      <c r="E51" s="24" t="s">
        <v>926</v>
      </c>
      <c r="F51" s="25" t="s">
        <v>931</v>
      </c>
      <c r="G51" s="25" t="e">
        <f ca="1">[1]!s2m(E51)</f>
        <v>#NAME?</v>
      </c>
      <c r="H51" s="24" t="e">
        <f ca="1">[1]!s2m(F51)</f>
        <v>#NAME?</v>
      </c>
      <c r="I51" s="45" t="e">
        <f t="shared" ref="I51:I67" ca="1" si="7">H51-TODAY()</f>
        <v>#NAME?</v>
      </c>
      <c r="K51" s="28"/>
      <c r="L51" s="28"/>
      <c r="M51" s="28"/>
      <c r="N51" s="28"/>
      <c r="O51" s="28"/>
      <c r="P51" s="28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1:38" s="27" customFormat="1" x14ac:dyDescent="0.3">
      <c r="A52" s="20"/>
      <c r="B52" s="21"/>
      <c r="C52" s="22"/>
      <c r="D52" s="22"/>
      <c r="E52" s="24" t="s">
        <v>926</v>
      </c>
      <c r="F52" s="24" t="s">
        <v>931</v>
      </c>
      <c r="G52" s="25" t="e">
        <f ca="1">[1]!s2m(E52)</f>
        <v>#NAME?</v>
      </c>
      <c r="H52" s="24" t="e">
        <f ca="1">[1]!s2m(F52)</f>
        <v>#NAME?</v>
      </c>
      <c r="I52" s="45" t="e">
        <f t="shared" ca="1" si="7"/>
        <v>#NAME?</v>
      </c>
      <c r="K52" s="28"/>
      <c r="L52" s="28"/>
      <c r="M52" s="28"/>
      <c r="N52" s="28"/>
      <c r="O52" s="28"/>
      <c r="P52" s="28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1:38" s="27" customFormat="1" x14ac:dyDescent="0.3">
      <c r="A53" s="20"/>
      <c r="B53" s="21"/>
      <c r="C53" s="22"/>
      <c r="D53" s="22"/>
      <c r="E53" s="24" t="s">
        <v>927</v>
      </c>
      <c r="F53" s="24" t="s">
        <v>932</v>
      </c>
      <c r="G53" s="25" t="e">
        <f ca="1">[1]!s2m(E53)</f>
        <v>#NAME?</v>
      </c>
      <c r="H53" s="24" t="e">
        <f ca="1">[1]!s2m(F53)</f>
        <v>#NAME?</v>
      </c>
      <c r="I53" s="45" t="e">
        <f t="shared" ca="1" si="7"/>
        <v>#NAME?</v>
      </c>
      <c r="K53" s="28"/>
      <c r="L53" s="28"/>
      <c r="M53" s="28"/>
      <c r="N53" s="28"/>
      <c r="O53" s="28"/>
      <c r="P53" s="28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1:38" s="27" customFormat="1" x14ac:dyDescent="0.3">
      <c r="A54" s="20"/>
      <c r="B54" s="21"/>
      <c r="C54" s="22"/>
      <c r="D54" s="22"/>
      <c r="E54" s="24" t="s">
        <v>925</v>
      </c>
      <c r="F54" s="24" t="s">
        <v>933</v>
      </c>
      <c r="G54" s="25" t="e">
        <f ca="1">[1]!s2m(E54)</f>
        <v>#NAME?</v>
      </c>
      <c r="H54" s="24" t="e">
        <f ca="1">[1]!s2m(F54)</f>
        <v>#NAME?</v>
      </c>
      <c r="I54" s="45" t="e">
        <f t="shared" ca="1" si="7"/>
        <v>#NAME?</v>
      </c>
      <c r="K54" s="28"/>
      <c r="L54" s="28"/>
      <c r="M54" s="28"/>
      <c r="N54" s="28"/>
      <c r="O54" s="28"/>
      <c r="P54" s="28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1:38" s="27" customFormat="1" x14ac:dyDescent="0.3">
      <c r="A55" s="20"/>
      <c r="B55" s="21"/>
      <c r="C55" s="22"/>
      <c r="D55" s="22"/>
      <c r="E55" s="24" t="s">
        <v>928</v>
      </c>
      <c r="F55" s="24" t="s">
        <v>934</v>
      </c>
      <c r="G55" s="25" t="e">
        <f ca="1">[1]!s2m(E55)</f>
        <v>#NAME?</v>
      </c>
      <c r="H55" s="24" t="e">
        <f ca="1">[1]!s2m(F55)</f>
        <v>#NAME?</v>
      </c>
      <c r="I55" s="45" t="e">
        <f t="shared" ca="1" si="7"/>
        <v>#NAME?</v>
      </c>
      <c r="K55" s="28"/>
      <c r="L55" s="28"/>
      <c r="M55" s="28"/>
      <c r="N55" s="28"/>
      <c r="O55" s="28"/>
      <c r="P55" s="28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1:38" s="27" customFormat="1" x14ac:dyDescent="0.3">
      <c r="A56" s="20"/>
      <c r="B56" s="21"/>
      <c r="C56" s="22"/>
      <c r="D56" s="22"/>
      <c r="E56" s="24" t="s">
        <v>929</v>
      </c>
      <c r="F56" s="24" t="s">
        <v>935</v>
      </c>
      <c r="G56" s="25" t="e">
        <f ca="1">[1]!s2m(E56)</f>
        <v>#NAME?</v>
      </c>
      <c r="H56" s="24" t="e">
        <f ca="1">[1]!s2m(F56)</f>
        <v>#NAME?</v>
      </c>
      <c r="I56" s="45" t="e">
        <f t="shared" ca="1" si="7"/>
        <v>#NAME?</v>
      </c>
      <c r="K56" s="28"/>
      <c r="L56" s="28"/>
      <c r="M56" s="28"/>
      <c r="N56" s="28"/>
      <c r="O56" s="28"/>
      <c r="P56" s="28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1:38" s="27" customFormat="1" x14ac:dyDescent="0.3">
      <c r="A57" s="20"/>
      <c r="B57" s="21"/>
      <c r="C57" s="22"/>
      <c r="D57" s="22"/>
      <c r="E57" s="24" t="s">
        <v>930</v>
      </c>
      <c r="F57" s="24" t="s">
        <v>936</v>
      </c>
      <c r="G57" s="25" t="e">
        <f ca="1">[1]!s2m(E57)</f>
        <v>#NAME?</v>
      </c>
      <c r="H57" s="24" t="e">
        <f ca="1">[1]!s2m(F57)</f>
        <v>#NAME?</v>
      </c>
      <c r="I57" s="45" t="e">
        <f t="shared" ca="1" si="7"/>
        <v>#NAME?</v>
      </c>
      <c r="K57" s="28"/>
      <c r="L57" s="28"/>
      <c r="M57" s="28"/>
      <c r="N57" s="28"/>
      <c r="O57" s="28"/>
      <c r="P57" s="28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1:38" s="27" customFormat="1" x14ac:dyDescent="0.3">
      <c r="A58" s="20"/>
      <c r="B58" s="21"/>
      <c r="C58" s="22"/>
      <c r="D58" s="22"/>
      <c r="E58" s="24" t="s">
        <v>937</v>
      </c>
      <c r="F58" s="24" t="s">
        <v>944</v>
      </c>
      <c r="G58" s="25" t="e">
        <f ca="1">[1]!s2m(E58)</f>
        <v>#NAME?</v>
      </c>
      <c r="H58" s="24" t="e">
        <f ca="1">[1]!s2m(F58)</f>
        <v>#NAME?</v>
      </c>
      <c r="I58" s="45" t="e">
        <f t="shared" ca="1" si="7"/>
        <v>#NAME?</v>
      </c>
      <c r="K58" s="28"/>
      <c r="L58" s="28"/>
      <c r="M58" s="28"/>
      <c r="N58" s="28"/>
      <c r="O58" s="28"/>
      <c r="P58" s="28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1:38" s="27" customFormat="1" x14ac:dyDescent="0.3">
      <c r="A59" s="20"/>
      <c r="B59" s="21"/>
      <c r="C59" s="22"/>
      <c r="D59" s="22"/>
      <c r="E59" s="24" t="s">
        <v>938</v>
      </c>
      <c r="F59" s="24" t="s">
        <v>945</v>
      </c>
      <c r="G59" s="25" t="e">
        <f ca="1">[1]!s2m(E59)</f>
        <v>#NAME?</v>
      </c>
      <c r="H59" s="24" t="e">
        <f ca="1">[1]!s2m(F59)</f>
        <v>#NAME?</v>
      </c>
      <c r="I59" s="45" t="e">
        <f t="shared" ca="1" si="7"/>
        <v>#NAME?</v>
      </c>
      <c r="K59" s="28"/>
      <c r="L59" s="28"/>
      <c r="M59" s="28"/>
      <c r="N59" s="28"/>
      <c r="O59" s="28"/>
      <c r="P59" s="28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1:38" s="27" customFormat="1" x14ac:dyDescent="0.3">
      <c r="A60" s="20"/>
      <c r="B60" s="21"/>
      <c r="C60" s="22"/>
      <c r="D60" s="22"/>
      <c r="E60" s="24" t="s">
        <v>681</v>
      </c>
      <c r="F60" s="24" t="s">
        <v>946</v>
      </c>
      <c r="G60" s="25" t="e">
        <f ca="1">[1]!s2m(E60)</f>
        <v>#NAME?</v>
      </c>
      <c r="H60" s="24" t="e">
        <f ca="1">[1]!s2m(F60)</f>
        <v>#NAME?</v>
      </c>
      <c r="I60" s="45" t="e">
        <f t="shared" ca="1" si="7"/>
        <v>#NAME?</v>
      </c>
      <c r="K60" s="28"/>
      <c r="L60" s="28"/>
      <c r="M60" s="28"/>
      <c r="N60" s="28"/>
      <c r="O60" s="28"/>
      <c r="P60" s="28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1:38" s="27" customFormat="1" x14ac:dyDescent="0.3">
      <c r="A61" s="20"/>
      <c r="B61" s="21"/>
      <c r="C61" s="22"/>
      <c r="D61" s="22"/>
      <c r="E61" s="24" t="s">
        <v>939</v>
      </c>
      <c r="F61" s="24" t="s">
        <v>947</v>
      </c>
      <c r="G61" s="25" t="e">
        <f ca="1">[1]!s2m(E61)</f>
        <v>#NAME?</v>
      </c>
      <c r="H61" s="24" t="e">
        <f ca="1">[1]!s2m(F61)</f>
        <v>#NAME?</v>
      </c>
      <c r="I61" s="45" t="e">
        <f t="shared" ca="1" si="7"/>
        <v>#NAME?</v>
      </c>
      <c r="K61" s="28"/>
      <c r="L61" s="28"/>
      <c r="M61" s="28"/>
      <c r="N61" s="28"/>
      <c r="O61" s="28"/>
      <c r="P61" s="28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1:38" s="27" customFormat="1" x14ac:dyDescent="0.3">
      <c r="A62" s="20"/>
      <c r="B62" s="21"/>
      <c r="C62" s="22"/>
      <c r="D62" s="22"/>
      <c r="E62" s="24" t="s">
        <v>940</v>
      </c>
      <c r="F62" s="24" t="s">
        <v>948</v>
      </c>
      <c r="G62" s="25" t="e">
        <f ca="1">[1]!s2m(E62)</f>
        <v>#NAME?</v>
      </c>
      <c r="H62" s="24" t="e">
        <f ca="1">[1]!s2m(F62)</f>
        <v>#NAME?</v>
      </c>
      <c r="I62" s="45" t="e">
        <f t="shared" ca="1" si="7"/>
        <v>#NAME?</v>
      </c>
      <c r="K62" s="28"/>
      <c r="L62" s="28"/>
      <c r="M62" s="28"/>
      <c r="N62" s="28"/>
      <c r="O62" s="28"/>
      <c r="P62" s="28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1:38" s="27" customFormat="1" x14ac:dyDescent="0.3">
      <c r="A63" s="20"/>
      <c r="B63" s="21"/>
      <c r="C63" s="22"/>
      <c r="D63" s="22"/>
      <c r="E63" s="24" t="s">
        <v>941</v>
      </c>
      <c r="F63" s="24" t="s">
        <v>949</v>
      </c>
      <c r="G63" s="25" t="e">
        <f ca="1">[1]!s2m(E63)</f>
        <v>#NAME?</v>
      </c>
      <c r="H63" s="24" t="e">
        <f ca="1">[1]!s2m(F63)</f>
        <v>#NAME?</v>
      </c>
      <c r="I63" s="45" t="e">
        <f t="shared" ca="1" si="7"/>
        <v>#NAME?</v>
      </c>
      <c r="K63" s="28"/>
      <c r="L63" s="28"/>
      <c r="M63" s="28"/>
      <c r="N63" s="28"/>
      <c r="O63" s="28"/>
      <c r="P63" s="28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1:38" s="27" customFormat="1" x14ac:dyDescent="0.3">
      <c r="A64" s="20"/>
      <c r="B64" s="21"/>
      <c r="C64" s="22"/>
      <c r="D64" s="22"/>
      <c r="E64" s="24" t="s">
        <v>942</v>
      </c>
      <c r="F64" s="24" t="s">
        <v>950</v>
      </c>
      <c r="G64" s="25" t="e">
        <f ca="1">[1]!s2m(E64)</f>
        <v>#NAME?</v>
      </c>
      <c r="H64" s="24" t="e">
        <f ca="1">[1]!s2m(F64)</f>
        <v>#NAME?</v>
      </c>
      <c r="I64" s="45" t="e">
        <f t="shared" ca="1" si="7"/>
        <v>#NAME?</v>
      </c>
      <c r="K64" s="28"/>
      <c r="L64" s="28"/>
      <c r="M64" s="28"/>
      <c r="N64" s="28"/>
      <c r="O64" s="28"/>
      <c r="P64" s="28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1:38" s="27" customFormat="1" x14ac:dyDescent="0.3">
      <c r="A65" s="20"/>
      <c r="B65" s="21"/>
      <c r="C65" s="22"/>
      <c r="D65" s="22"/>
      <c r="E65" s="24" t="s">
        <v>943</v>
      </c>
      <c r="F65" s="24" t="s">
        <v>951</v>
      </c>
      <c r="G65" s="25" t="e">
        <f ca="1">[1]!s2m(E65)</f>
        <v>#NAME?</v>
      </c>
      <c r="H65" s="24" t="e">
        <f ca="1">[1]!s2m(F65)</f>
        <v>#NAME?</v>
      </c>
      <c r="I65" s="45" t="e">
        <f t="shared" ca="1" si="7"/>
        <v>#NAME?</v>
      </c>
      <c r="K65" s="28"/>
      <c r="L65" s="28"/>
      <c r="M65" s="28"/>
      <c r="N65" s="28"/>
      <c r="O65" s="28"/>
      <c r="P65" s="28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1:38" s="27" customFormat="1" x14ac:dyDescent="0.3">
      <c r="A66" s="20"/>
      <c r="B66" s="21"/>
      <c r="C66" s="22"/>
      <c r="D66" s="22"/>
      <c r="E66" s="24" t="s">
        <v>939</v>
      </c>
      <c r="F66" s="24" t="s">
        <v>947</v>
      </c>
      <c r="G66" s="25" t="e">
        <f ca="1">[1]!s2m(E66)</f>
        <v>#NAME?</v>
      </c>
      <c r="H66" s="24" t="e">
        <f ca="1">[1]!s2m(F66)</f>
        <v>#NAME?</v>
      </c>
      <c r="I66" s="45" t="e">
        <f t="shared" ca="1" si="7"/>
        <v>#NAME?</v>
      </c>
      <c r="K66" s="28"/>
      <c r="L66" s="28"/>
      <c r="M66" s="28"/>
      <c r="N66" s="28"/>
      <c r="O66" s="28"/>
      <c r="P66" s="28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1:38" s="27" customFormat="1" x14ac:dyDescent="0.3">
      <c r="A67" s="20"/>
      <c r="B67" s="21"/>
      <c r="C67" s="22"/>
      <c r="D67" s="22"/>
      <c r="E67" s="24" t="s">
        <v>943</v>
      </c>
      <c r="F67" s="24" t="s">
        <v>951</v>
      </c>
      <c r="G67" s="25" t="e">
        <f ca="1">[1]!s2m(E67)</f>
        <v>#NAME?</v>
      </c>
      <c r="H67" s="24" t="e">
        <f ca="1">[1]!s2m(F67)</f>
        <v>#NAME?</v>
      </c>
      <c r="I67" s="45" t="e">
        <f t="shared" ca="1" si="7"/>
        <v>#NAME?</v>
      </c>
      <c r="K67" s="28"/>
      <c r="L67" s="28"/>
      <c r="M67" s="28"/>
      <c r="N67" s="28"/>
      <c r="O67" s="28"/>
      <c r="P67" s="28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</sheetData>
  <mergeCells count="49"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W5:W6"/>
    <mergeCell ref="X5:X6"/>
    <mergeCell ref="A8:A11"/>
    <mergeCell ref="B8:B11"/>
    <mergeCell ref="C8:C11"/>
    <mergeCell ref="D8:D11"/>
    <mergeCell ref="E8:F9"/>
    <mergeCell ref="E10:E11"/>
    <mergeCell ref="F10:F11"/>
    <mergeCell ref="R11:R12"/>
    <mergeCell ref="G10:G11"/>
    <mergeCell ref="H10:H11"/>
    <mergeCell ref="G8:H9"/>
    <mergeCell ref="I8:P8"/>
    <mergeCell ref="Q8:Q10"/>
    <mergeCell ref="Q11:Q12"/>
    <mergeCell ref="R8:R10"/>
    <mergeCell ref="I9:I10"/>
    <mergeCell ref="J9:J10"/>
    <mergeCell ref="K9:K10"/>
    <mergeCell ref="L9:L10"/>
    <mergeCell ref="M9:M10"/>
    <mergeCell ref="N9:N10"/>
    <mergeCell ref="O9:O10"/>
    <mergeCell ref="P9:P10"/>
  </mergeCells>
  <phoneticPr fontId="24" type="noConversion"/>
  <conditionalFormatting sqref="B13:B35">
    <cfRule type="cellIs" dxfId="33" priority="2" operator="equal">
      <formula>"Delete"</formula>
    </cfRule>
    <cfRule type="cellIs" dxfId="32" priority="5" operator="equal">
      <formula>"On time"</formula>
    </cfRule>
    <cfRule type="cellIs" dxfId="31" priority="6" operator="equal">
      <formula>"Delay"</formula>
    </cfRule>
    <cfRule type="cellIs" dxfId="30" priority="7" operator="equal">
      <formula>"Inprogress"</formula>
    </cfRule>
    <cfRule type="cellIs" dxfId="29" priority="8" operator="equal">
      <formula>"Ahead of schedule"</formula>
    </cfRule>
  </conditionalFormatting>
  <conditionalFormatting sqref="B6:D6">
    <cfRule type="cellIs" dxfId="28" priority="18" operator="equal">
      <formula>"Delay"</formula>
    </cfRule>
  </conditionalFormatting>
  <conditionalFormatting sqref="I13:R35">
    <cfRule type="cellIs" dxfId="27" priority="1" operator="equal">
      <formula>1</formula>
    </cfRule>
  </conditionalFormatting>
  <conditionalFormatting sqref="Q11:R11">
    <cfRule type="dataBar" priority="12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{B3D07966-052E-456B-A6A5-4C42DECB30CA}</x14:id>
        </ext>
      </extLst>
    </cfRule>
  </conditionalFormatting>
  <conditionalFormatting sqref="Q13:R35">
    <cfRule type="cellIs" dxfId="26" priority="3" operator="between">
      <formula>0.01</formula>
      <formula>0.99</formula>
    </cfRule>
    <cfRule type="cellIs" dxfId="25" priority="4" operator="equal">
      <formula>0</formula>
    </cfRule>
  </conditionalFormatting>
  <pageMargins left="0.1" right="0" top="0.1" bottom="0" header="0" footer="0"/>
  <pageSetup paperSize="9" scale="37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D07966-052E-456B-A6A5-4C42DECB30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5" tint="-0.249977111117893"/>
  </sheetPr>
  <dimension ref="A1:AL62"/>
  <sheetViews>
    <sheetView topLeftCell="D5" zoomScale="55" zoomScaleNormal="55" zoomScaleSheetLayoutView="40" zoomScalePageLayoutView="40" workbookViewId="0">
      <selection activeCell="Q6" sqref="Q6:R6"/>
    </sheetView>
  </sheetViews>
  <sheetFormatPr defaultColWidth="9.109375" defaultRowHeight="15.6" outlineLevelCol="1" x14ac:dyDescent="0.3"/>
  <cols>
    <col min="1" max="1" width="11.109375" style="20" customWidth="1"/>
    <col min="2" max="2" width="18" style="21" customWidth="1"/>
    <col min="3" max="3" width="99.6640625" style="22" customWidth="1"/>
    <col min="4" max="4" width="18.33203125" style="22" customWidth="1"/>
    <col min="5" max="5" width="23" style="24" customWidth="1" outlineLevel="1"/>
    <col min="6" max="6" width="24.88671875" style="24" customWidth="1" outlineLevel="1"/>
    <col min="7" max="7" width="22.44140625" style="24" customWidth="1" outlineLevel="1"/>
    <col min="8" max="8" width="22.33203125" style="24" customWidth="1" outlineLevel="1"/>
    <col min="9" max="10" width="13.6640625" style="27" customWidth="1" outlineLevel="1"/>
    <col min="11" max="16" width="13.6640625" style="28" customWidth="1" outlineLevel="1"/>
    <col min="17" max="17" width="19.88671875" style="27" customWidth="1" outlineLevel="1"/>
    <col min="18" max="18" width="18.88671875" style="24" bestFit="1" customWidth="1"/>
    <col min="19" max="25" width="10.44140625" style="24" customWidth="1"/>
    <col min="26" max="27" width="10.44140625" style="24" hidden="1" customWidth="1"/>
    <col min="28" max="28" width="10.44140625" style="24" customWidth="1"/>
    <col min="29" max="30" width="12.33203125" style="24" customWidth="1"/>
    <col min="31" max="16384" width="9.109375" style="24"/>
  </cols>
  <sheetData>
    <row r="1" spans="1:38" ht="16.2" thickBot="1" x14ac:dyDescent="0.35"/>
    <row r="2" spans="1:38" customFormat="1" ht="97.5" customHeight="1" x14ac:dyDescent="0.3">
      <c r="A2" s="186" t="s">
        <v>146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51"/>
      <c r="R2" s="188"/>
    </row>
    <row r="3" spans="1:38" customFormat="1" ht="19.649999999999999" customHeight="1" x14ac:dyDescent="0.3">
      <c r="A3" s="123"/>
      <c r="B3" s="123"/>
      <c r="C3" s="123"/>
      <c r="D3" s="81"/>
      <c r="E3" s="119" t="s">
        <v>153</v>
      </c>
      <c r="F3" s="119"/>
      <c r="G3" s="119"/>
      <c r="H3" s="164" t="s">
        <v>985</v>
      </c>
      <c r="I3" s="164"/>
      <c r="J3" s="164"/>
      <c r="K3" s="133" t="s">
        <v>923</v>
      </c>
      <c r="L3" s="133"/>
      <c r="M3" s="133"/>
      <c r="N3" s="171" t="s">
        <v>924</v>
      </c>
      <c r="O3" s="172"/>
      <c r="P3" s="173"/>
      <c r="Q3" s="119" t="s">
        <v>920</v>
      </c>
      <c r="R3" s="119"/>
    </row>
    <row r="4" spans="1:38" customFormat="1" ht="19.649999999999999" customHeight="1" thickBot="1" x14ac:dyDescent="0.35">
      <c r="A4" s="37" t="s">
        <v>150</v>
      </c>
      <c r="B4" s="135"/>
      <c r="C4" s="135"/>
      <c r="D4" s="82"/>
      <c r="E4" s="119"/>
      <c r="F4" s="119"/>
      <c r="G4" s="119"/>
      <c r="H4" s="164"/>
      <c r="I4" s="164"/>
      <c r="J4" s="164"/>
      <c r="K4" s="133"/>
      <c r="L4" s="133"/>
      <c r="M4" s="133"/>
      <c r="N4" s="174"/>
      <c r="O4" s="175"/>
      <c r="P4" s="176"/>
      <c r="Q4" s="119"/>
      <c r="R4" s="119"/>
    </row>
    <row r="5" spans="1:38" customFormat="1" ht="19.649999999999999" customHeight="1" x14ac:dyDescent="0.3">
      <c r="A5" s="37" t="s">
        <v>151</v>
      </c>
      <c r="B5" s="148"/>
      <c r="C5" s="148"/>
      <c r="D5" s="83"/>
      <c r="E5" s="119"/>
      <c r="F5" s="119"/>
      <c r="G5" s="119"/>
      <c r="H5" s="164"/>
      <c r="I5" s="164"/>
      <c r="J5" s="164"/>
      <c r="K5" s="133"/>
      <c r="L5" s="133"/>
      <c r="M5" s="133"/>
      <c r="N5" s="177"/>
      <c r="O5" s="178"/>
      <c r="P5" s="179"/>
      <c r="Q5" s="119"/>
      <c r="R5" s="119"/>
      <c r="S5" s="167" t="s">
        <v>173</v>
      </c>
      <c r="T5" s="169" t="s">
        <v>147</v>
      </c>
      <c r="U5" s="169" t="s">
        <v>155</v>
      </c>
      <c r="V5" s="169" t="s">
        <v>156</v>
      </c>
      <c r="W5" s="169" t="s">
        <v>157</v>
      </c>
      <c r="X5" s="169" t="s">
        <v>158</v>
      </c>
      <c r="Y5" s="169" t="s">
        <v>159</v>
      </c>
      <c r="Z5" s="7"/>
      <c r="AA5" s="7"/>
      <c r="AB5" s="165" t="s">
        <v>160</v>
      </c>
      <c r="AC5" s="15"/>
      <c r="AL5" s="6"/>
    </row>
    <row r="6" spans="1:38" customFormat="1" ht="22.5" customHeight="1" thickBot="1" x14ac:dyDescent="0.35">
      <c r="A6" s="37" t="s">
        <v>152</v>
      </c>
      <c r="B6" s="120"/>
      <c r="C6" s="120"/>
      <c r="D6" s="80"/>
      <c r="E6" s="121" t="s">
        <v>991</v>
      </c>
      <c r="F6" s="121"/>
      <c r="G6" s="121"/>
      <c r="H6" s="122" t="s">
        <v>922</v>
      </c>
      <c r="I6" s="122"/>
      <c r="J6" s="122"/>
      <c r="K6" s="122">
        <f>COUNTIF(B13:B25,"On time")</f>
        <v>13</v>
      </c>
      <c r="L6" s="122"/>
      <c r="M6" s="122"/>
      <c r="N6" s="180">
        <f>COUNTIF(B13:B25,"Inprogress")</f>
        <v>0</v>
      </c>
      <c r="O6" s="181"/>
      <c r="P6" s="182"/>
      <c r="Q6" s="136" t="s">
        <v>1189</v>
      </c>
      <c r="R6" s="136"/>
      <c r="S6" s="168"/>
      <c r="T6" s="170"/>
      <c r="U6" s="170"/>
      <c r="V6" s="170"/>
      <c r="W6" s="170"/>
      <c r="X6" s="170"/>
      <c r="Y6" s="170"/>
      <c r="Z6" s="8"/>
      <c r="AA6" s="8"/>
      <c r="AB6" s="166"/>
      <c r="AC6" s="16"/>
    </row>
    <row r="7" spans="1:38" customFormat="1" ht="24.75" customHeight="1" x14ac:dyDescent="0.3">
      <c r="A7" s="38" t="s">
        <v>149</v>
      </c>
      <c r="B7" s="149"/>
      <c r="C7" s="149"/>
      <c r="D7" s="84"/>
      <c r="E7" s="121"/>
      <c r="F7" s="121"/>
      <c r="G7" s="121"/>
      <c r="H7" s="122"/>
      <c r="I7" s="122"/>
      <c r="J7" s="122"/>
      <c r="K7" s="122"/>
      <c r="L7" s="122"/>
      <c r="M7" s="122"/>
      <c r="N7" s="183"/>
      <c r="O7" s="184"/>
      <c r="P7" s="185"/>
      <c r="Q7" s="137">
        <v>0.45833333333333331</v>
      </c>
      <c r="R7" s="137"/>
      <c r="S7" s="17">
        <v>0</v>
      </c>
      <c r="T7" s="11">
        <v>0.05</v>
      </c>
      <c r="U7" s="11">
        <v>0.1</v>
      </c>
      <c r="V7" s="11">
        <v>0.15</v>
      </c>
      <c r="W7" s="11">
        <v>0.11</v>
      </c>
      <c r="X7" s="11">
        <v>0.2</v>
      </c>
      <c r="Y7" s="11">
        <v>0.24</v>
      </c>
      <c r="Z7" s="11">
        <v>0</v>
      </c>
      <c r="AA7" s="11">
        <v>0</v>
      </c>
      <c r="AB7" s="12">
        <v>0.15</v>
      </c>
      <c r="AC7" s="9" t="s">
        <v>171</v>
      </c>
    </row>
    <row r="8" spans="1:38" customFormat="1" ht="37.65" customHeight="1" thickBot="1" x14ac:dyDescent="0.35">
      <c r="A8" s="138" t="s">
        <v>957</v>
      </c>
      <c r="B8" s="138" t="s">
        <v>958</v>
      </c>
      <c r="C8" s="142" t="s">
        <v>959</v>
      </c>
      <c r="D8" s="142" t="s">
        <v>960</v>
      </c>
      <c r="E8" s="140" t="s">
        <v>975</v>
      </c>
      <c r="F8" s="140"/>
      <c r="G8" s="140" t="s">
        <v>974</v>
      </c>
      <c r="H8" s="140"/>
      <c r="I8" s="161" t="s">
        <v>973</v>
      </c>
      <c r="J8" s="162"/>
      <c r="K8" s="162"/>
      <c r="L8" s="162"/>
      <c r="M8" s="162"/>
      <c r="N8" s="162"/>
      <c r="O8" s="162"/>
      <c r="P8" s="163"/>
      <c r="Q8" s="154" t="s">
        <v>970</v>
      </c>
      <c r="R8" s="154" t="s">
        <v>971</v>
      </c>
      <c r="S8" s="18">
        <v>0.15</v>
      </c>
      <c r="T8" s="13">
        <v>0.05</v>
      </c>
      <c r="U8" s="13">
        <v>0.1</v>
      </c>
      <c r="V8" s="13">
        <v>0.15</v>
      </c>
      <c r="W8" s="13">
        <v>0.1</v>
      </c>
      <c r="X8" s="13">
        <v>0.15</v>
      </c>
      <c r="Y8" s="13">
        <v>0.15</v>
      </c>
      <c r="Z8" s="13">
        <v>0</v>
      </c>
      <c r="AA8" s="13">
        <v>0</v>
      </c>
      <c r="AB8" s="14">
        <v>0.15</v>
      </c>
      <c r="AC8" s="10" t="s">
        <v>172</v>
      </c>
    </row>
    <row r="9" spans="1:38" customFormat="1" ht="26.25" customHeight="1" thickBot="1" x14ac:dyDescent="0.35">
      <c r="A9" s="138"/>
      <c r="B9" s="138"/>
      <c r="C9" s="143"/>
      <c r="D9" s="143"/>
      <c r="E9" s="140"/>
      <c r="F9" s="140"/>
      <c r="G9" s="140"/>
      <c r="H9" s="140"/>
      <c r="I9" s="189" t="s">
        <v>964</v>
      </c>
      <c r="J9" s="155" t="s">
        <v>982</v>
      </c>
      <c r="K9" s="153" t="s">
        <v>965</v>
      </c>
      <c r="L9" s="153" t="s">
        <v>966</v>
      </c>
      <c r="M9" s="153" t="s">
        <v>967</v>
      </c>
      <c r="N9" s="153" t="s">
        <v>972</v>
      </c>
      <c r="O9" s="153" t="s">
        <v>968</v>
      </c>
      <c r="P9" s="153" t="s">
        <v>969</v>
      </c>
      <c r="Q9" s="154"/>
      <c r="R9" s="154"/>
      <c r="S9" s="2"/>
      <c r="T9" s="2"/>
      <c r="U9" s="2">
        <v>0.2</v>
      </c>
      <c r="V9" s="2">
        <v>0.3</v>
      </c>
      <c r="W9" s="2"/>
      <c r="X9" s="2"/>
      <c r="AB9" s="14">
        <v>0.5</v>
      </c>
      <c r="AC9" t="s">
        <v>919</v>
      </c>
    </row>
    <row r="10" spans="1:38" customFormat="1" ht="36.450000000000003" customHeight="1" x14ac:dyDescent="0.3">
      <c r="A10" s="138"/>
      <c r="B10" s="138"/>
      <c r="C10" s="143"/>
      <c r="D10" s="143"/>
      <c r="E10" s="145" t="s">
        <v>961</v>
      </c>
      <c r="F10" s="145" t="s">
        <v>962</v>
      </c>
      <c r="G10" s="145" t="s">
        <v>963</v>
      </c>
      <c r="H10" s="145" t="s">
        <v>962</v>
      </c>
      <c r="I10" s="189"/>
      <c r="J10" s="155"/>
      <c r="K10" s="153"/>
      <c r="L10" s="153"/>
      <c r="M10" s="153"/>
      <c r="N10" s="153"/>
      <c r="O10" s="153"/>
      <c r="P10" s="153"/>
      <c r="Q10" s="154"/>
      <c r="R10" s="154"/>
      <c r="T10" s="3"/>
      <c r="U10" s="3"/>
      <c r="V10" s="3"/>
      <c r="W10" s="3"/>
    </row>
    <row r="11" spans="1:38" customFormat="1" ht="40.5" customHeight="1" x14ac:dyDescent="0.3">
      <c r="A11" s="138"/>
      <c r="B11" s="138"/>
      <c r="C11" s="144"/>
      <c r="D11" s="144"/>
      <c r="E11" s="146"/>
      <c r="F11" s="146"/>
      <c r="G11" s="146"/>
      <c r="H11" s="146"/>
      <c r="I11" s="85">
        <v>0.15</v>
      </c>
      <c r="J11" s="85">
        <v>0.05</v>
      </c>
      <c r="K11" s="85">
        <v>0.1</v>
      </c>
      <c r="L11" s="85">
        <v>0.15</v>
      </c>
      <c r="M11" s="85">
        <v>0.1</v>
      </c>
      <c r="N11" s="85">
        <v>0.15</v>
      </c>
      <c r="O11" s="85">
        <v>0.15</v>
      </c>
      <c r="P11" s="85">
        <v>0.15</v>
      </c>
      <c r="Q11" s="190">
        <f>AVERAGE(Q13:Q25)</f>
        <v>1</v>
      </c>
      <c r="R11" s="192">
        <f>AVERAGE(R13:R25)</f>
        <v>1</v>
      </c>
      <c r="T11" s="3"/>
      <c r="U11" s="3"/>
      <c r="V11" s="3"/>
      <c r="W11" s="3"/>
    </row>
    <row r="12" spans="1:38" customFormat="1" ht="40.5" customHeight="1" x14ac:dyDescent="0.3">
      <c r="A12" s="90"/>
      <c r="B12" s="90"/>
      <c r="C12" s="91"/>
      <c r="D12" s="91"/>
      <c r="E12" s="92"/>
      <c r="F12" s="92"/>
      <c r="G12" s="92"/>
      <c r="H12" s="92"/>
      <c r="I12" s="93">
        <v>0</v>
      </c>
      <c r="J12" s="93">
        <v>0.05</v>
      </c>
      <c r="K12" s="93">
        <v>0.1</v>
      </c>
      <c r="L12" s="93">
        <v>0.15</v>
      </c>
      <c r="M12" s="93">
        <v>0.11</v>
      </c>
      <c r="N12" s="93">
        <v>0.2</v>
      </c>
      <c r="O12" s="93">
        <v>0.24</v>
      </c>
      <c r="P12" s="93">
        <v>0.15</v>
      </c>
      <c r="Q12" s="191"/>
      <c r="R12" s="193"/>
    </row>
    <row r="13" spans="1:38" customFormat="1" ht="65.099999999999994" customHeight="1" x14ac:dyDescent="0.3">
      <c r="A13" s="79">
        <v>8218</v>
      </c>
      <c r="B13" s="30" t="str">
        <f t="shared" ref="B13:B25" si="0">IF(R13=1,"On time","Inprogress")</f>
        <v>On time</v>
      </c>
      <c r="C13" s="48" t="s">
        <v>1064</v>
      </c>
      <c r="D13" s="56" t="s">
        <v>993</v>
      </c>
      <c r="E13" s="50"/>
      <c r="F13" s="50" t="s">
        <v>994</v>
      </c>
      <c r="G13" s="50"/>
      <c r="H13" s="50" t="s">
        <v>955</v>
      </c>
      <c r="I13" s="54"/>
      <c r="J13" s="54">
        <v>1</v>
      </c>
      <c r="K13" s="54">
        <v>1</v>
      </c>
      <c r="L13" s="54">
        <v>1</v>
      </c>
      <c r="M13" s="54">
        <v>1</v>
      </c>
      <c r="N13" s="54">
        <v>1</v>
      </c>
      <c r="O13" s="54">
        <v>1</v>
      </c>
      <c r="P13" s="54">
        <v>1</v>
      </c>
      <c r="Q13" s="55">
        <f>SUMPRODUCT($K$11:$P$11,K13:P13)/0.8</f>
        <v>1</v>
      </c>
      <c r="R13" s="55">
        <f>SUMPRODUCT($I$12:$P$12,I13:P13)</f>
        <v>1</v>
      </c>
      <c r="S13" s="5"/>
      <c r="T13" s="33"/>
      <c r="V13" s="8"/>
      <c r="W13" s="19"/>
      <c r="X13" s="19"/>
    </row>
    <row r="14" spans="1:38" customFormat="1" ht="65.099999999999994" customHeight="1" x14ac:dyDescent="0.3">
      <c r="A14" s="89">
        <v>8057</v>
      </c>
      <c r="B14" s="30" t="str">
        <f t="shared" si="0"/>
        <v>On time</v>
      </c>
      <c r="C14" s="48" t="s">
        <v>1040</v>
      </c>
      <c r="D14" s="57" t="s">
        <v>964</v>
      </c>
      <c r="E14" s="50" t="s">
        <v>1050</v>
      </c>
      <c r="F14" s="50" t="s">
        <v>1001</v>
      </c>
      <c r="G14" s="50" t="s">
        <v>1050</v>
      </c>
      <c r="H14" s="50" t="s">
        <v>1087</v>
      </c>
      <c r="I14" s="54">
        <v>1</v>
      </c>
      <c r="J14" s="54">
        <v>1</v>
      </c>
      <c r="K14" s="54">
        <v>1</v>
      </c>
      <c r="L14" s="54">
        <v>1</v>
      </c>
      <c r="M14" s="54">
        <v>1</v>
      </c>
      <c r="N14" s="54">
        <v>1</v>
      </c>
      <c r="O14" s="54">
        <v>1</v>
      </c>
      <c r="P14" s="54">
        <v>1</v>
      </c>
      <c r="Q14" s="55">
        <f>SUMPRODUCT($K$11:$P$11,K14:P14)/0.8</f>
        <v>1</v>
      </c>
      <c r="R14" s="55">
        <f>SUMPRODUCT($I$11:$P$11,I14:P14)</f>
        <v>1</v>
      </c>
      <c r="S14" s="5"/>
      <c r="T14" s="33"/>
      <c r="V14" s="8"/>
      <c r="W14" s="19"/>
      <c r="X14" s="19"/>
    </row>
    <row r="15" spans="1:38" customFormat="1" ht="65.099999999999994" customHeight="1" x14ac:dyDescent="0.3">
      <c r="A15" s="79">
        <v>7765</v>
      </c>
      <c r="B15" s="30" t="str">
        <f t="shared" si="0"/>
        <v>On time</v>
      </c>
      <c r="C15" s="48" t="s">
        <v>1036</v>
      </c>
      <c r="D15" s="57" t="s">
        <v>993</v>
      </c>
      <c r="E15" s="50"/>
      <c r="F15" s="50" t="s">
        <v>750</v>
      </c>
      <c r="G15" s="50"/>
      <c r="H15" s="50" t="s">
        <v>750</v>
      </c>
      <c r="I15" s="54"/>
      <c r="J15" s="54">
        <v>1</v>
      </c>
      <c r="K15" s="54">
        <v>1</v>
      </c>
      <c r="L15" s="54">
        <v>1</v>
      </c>
      <c r="M15" s="54">
        <v>1</v>
      </c>
      <c r="N15" s="54">
        <v>1</v>
      </c>
      <c r="O15" s="54">
        <v>1</v>
      </c>
      <c r="P15" s="54">
        <v>1</v>
      </c>
      <c r="Q15" s="55">
        <f t="shared" ref="Q15:Q16" si="1">SUMPRODUCT($K$11:$P$11,K15:P15)/0.8</f>
        <v>1</v>
      </c>
      <c r="R15" s="55">
        <f t="shared" ref="R15:R16" si="2">SUMPRODUCT($I$12:$P$12,I15:P15)</f>
        <v>1</v>
      </c>
      <c r="S15" s="5"/>
      <c r="V15" s="8"/>
      <c r="W15" s="19"/>
      <c r="X15" s="19"/>
    </row>
    <row r="16" spans="1:38" customFormat="1" ht="65.099999999999994" customHeight="1" x14ac:dyDescent="0.3">
      <c r="A16" s="89">
        <v>8060</v>
      </c>
      <c r="B16" s="30" t="str">
        <f t="shared" si="0"/>
        <v>On time</v>
      </c>
      <c r="C16" s="48" t="s">
        <v>1038</v>
      </c>
      <c r="D16" s="57" t="s">
        <v>993</v>
      </c>
      <c r="E16" s="50"/>
      <c r="F16" s="50" t="s">
        <v>1077</v>
      </c>
      <c r="G16" s="50"/>
      <c r="H16" s="50" t="s">
        <v>1091</v>
      </c>
      <c r="I16" s="54"/>
      <c r="J16" s="54">
        <v>1</v>
      </c>
      <c r="K16" s="54">
        <v>1</v>
      </c>
      <c r="L16" s="54">
        <v>1</v>
      </c>
      <c r="M16" s="54">
        <v>1</v>
      </c>
      <c r="N16" s="54">
        <v>1</v>
      </c>
      <c r="O16" s="54">
        <v>1</v>
      </c>
      <c r="P16" s="54">
        <v>1</v>
      </c>
      <c r="Q16" s="55">
        <f t="shared" si="1"/>
        <v>1</v>
      </c>
      <c r="R16" s="55">
        <f t="shared" si="2"/>
        <v>1</v>
      </c>
      <c r="S16" s="5"/>
      <c r="V16" s="8"/>
      <c r="W16" s="19"/>
      <c r="X16" s="19"/>
    </row>
    <row r="17" spans="1:24" customFormat="1" ht="65.099999999999994" customHeight="1" x14ac:dyDescent="0.3">
      <c r="A17" s="79">
        <v>8044</v>
      </c>
      <c r="B17" s="30" t="str">
        <f t="shared" si="0"/>
        <v>On time</v>
      </c>
      <c r="C17" s="48" t="s">
        <v>1059</v>
      </c>
      <c r="D17" s="57" t="s">
        <v>964</v>
      </c>
      <c r="E17" s="50" t="s">
        <v>956</v>
      </c>
      <c r="F17" s="50" t="s">
        <v>953</v>
      </c>
      <c r="G17" s="50" t="s">
        <v>956</v>
      </c>
      <c r="H17" s="50"/>
      <c r="I17" s="54">
        <v>1</v>
      </c>
      <c r="J17" s="54">
        <v>1</v>
      </c>
      <c r="K17" s="54">
        <v>1</v>
      </c>
      <c r="L17" s="54">
        <v>1</v>
      </c>
      <c r="M17" s="54">
        <v>1</v>
      </c>
      <c r="N17" s="54">
        <v>1</v>
      </c>
      <c r="O17" s="54">
        <v>1</v>
      </c>
      <c r="P17" s="54">
        <v>1</v>
      </c>
      <c r="Q17" s="55">
        <f t="shared" ref="Q17:Q24" si="3">SUMPRODUCT($K$11:$P$11,K17:P17)/0.8</f>
        <v>1</v>
      </c>
      <c r="R17" s="55">
        <f>SUMPRODUCT($I$11:$P$11,I17:P17)</f>
        <v>1</v>
      </c>
      <c r="S17" s="5"/>
      <c r="V17" s="8"/>
      <c r="W17" s="19"/>
      <c r="X17" s="19"/>
    </row>
    <row r="18" spans="1:24" customFormat="1" ht="65.099999999999994" customHeight="1" x14ac:dyDescent="0.3">
      <c r="A18" s="89">
        <v>8056</v>
      </c>
      <c r="B18" s="30" t="str">
        <f t="shared" si="0"/>
        <v>On time</v>
      </c>
      <c r="C18" s="48" t="s">
        <v>1092</v>
      </c>
      <c r="D18" s="57" t="s">
        <v>964</v>
      </c>
      <c r="E18" s="50" t="s">
        <v>955</v>
      </c>
      <c r="F18" s="50" t="s">
        <v>953</v>
      </c>
      <c r="G18" s="50" t="s">
        <v>955</v>
      </c>
      <c r="H18" s="50" t="s">
        <v>1093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5">
        <f t="shared" si="3"/>
        <v>1</v>
      </c>
      <c r="R18" s="55">
        <f>SUMPRODUCT($I$11:$P$11,I18:P18)</f>
        <v>1</v>
      </c>
      <c r="S18" s="5"/>
      <c r="V18" s="8"/>
      <c r="W18" s="19"/>
      <c r="X18" s="19"/>
    </row>
    <row r="19" spans="1:24" customFormat="1" ht="65.099999999999994" customHeight="1" x14ac:dyDescent="0.3">
      <c r="A19" s="79">
        <v>8340</v>
      </c>
      <c r="B19" s="30" t="str">
        <f t="shared" si="0"/>
        <v>On time</v>
      </c>
      <c r="C19" s="48" t="s">
        <v>992</v>
      </c>
      <c r="D19" s="72" t="s">
        <v>993</v>
      </c>
      <c r="E19" s="50"/>
      <c r="F19" s="50" t="s">
        <v>1016</v>
      </c>
      <c r="G19" s="50"/>
      <c r="H19" s="50" t="s">
        <v>1091</v>
      </c>
      <c r="I19" s="54"/>
      <c r="J19" s="54">
        <v>1</v>
      </c>
      <c r="K19" s="54">
        <v>1</v>
      </c>
      <c r="L19" s="54">
        <v>1</v>
      </c>
      <c r="M19" s="54">
        <v>1</v>
      </c>
      <c r="N19" s="54">
        <v>1</v>
      </c>
      <c r="O19" s="54">
        <v>1</v>
      </c>
      <c r="P19" s="54">
        <v>1</v>
      </c>
      <c r="Q19" s="55">
        <f t="shared" si="3"/>
        <v>1</v>
      </c>
      <c r="R19" s="55">
        <f>SUMPRODUCT($I$12:$P$12,I19:P19)</f>
        <v>1</v>
      </c>
      <c r="S19" s="5"/>
      <c r="V19" s="8"/>
      <c r="W19" s="19"/>
      <c r="X19" s="19"/>
    </row>
    <row r="20" spans="1:24" customFormat="1" ht="65.099999999999994" customHeight="1" x14ac:dyDescent="0.3">
      <c r="A20" s="79">
        <v>8058</v>
      </c>
      <c r="B20" s="30" t="str">
        <f>IF(R20=1,"On time","Inprogress")</f>
        <v>On time</v>
      </c>
      <c r="C20" s="48" t="s">
        <v>1039</v>
      </c>
      <c r="D20" s="57" t="s">
        <v>964</v>
      </c>
      <c r="E20" s="50" t="s">
        <v>1050</v>
      </c>
      <c r="F20" s="50" t="s">
        <v>1001</v>
      </c>
      <c r="G20" s="50" t="s">
        <v>1050</v>
      </c>
      <c r="H20" s="50" t="s">
        <v>1085</v>
      </c>
      <c r="I20" s="54">
        <v>1</v>
      </c>
      <c r="J20" s="54">
        <v>1</v>
      </c>
      <c r="K20" s="54">
        <v>1</v>
      </c>
      <c r="L20" s="54">
        <v>1</v>
      </c>
      <c r="M20" s="54">
        <v>1</v>
      </c>
      <c r="N20" s="54">
        <v>1</v>
      </c>
      <c r="O20" s="54">
        <v>1</v>
      </c>
      <c r="P20" s="54">
        <v>1</v>
      </c>
      <c r="Q20" s="55">
        <f t="shared" si="3"/>
        <v>1</v>
      </c>
      <c r="R20" s="55">
        <f>SUMPRODUCT($I$11:$P$11,I20:P20)</f>
        <v>1</v>
      </c>
      <c r="S20" s="5"/>
      <c r="V20" s="8"/>
      <c r="W20" s="19"/>
      <c r="X20" s="19"/>
    </row>
    <row r="21" spans="1:24" customFormat="1" ht="65.099999999999994" customHeight="1" x14ac:dyDescent="0.3">
      <c r="A21" s="89">
        <v>7868</v>
      </c>
      <c r="B21" s="30" t="str">
        <f>IF(R21=1,"On time","Inprogress")</f>
        <v>On time</v>
      </c>
      <c r="C21" s="48" t="s">
        <v>1102</v>
      </c>
      <c r="D21" s="57" t="s">
        <v>964</v>
      </c>
      <c r="E21" s="50" t="s">
        <v>1050</v>
      </c>
      <c r="F21" s="50" t="s">
        <v>1001</v>
      </c>
      <c r="G21" s="50" t="s">
        <v>1050</v>
      </c>
      <c r="H21" s="50" t="s">
        <v>1085</v>
      </c>
      <c r="I21" s="54">
        <v>1</v>
      </c>
      <c r="J21" s="54">
        <v>1</v>
      </c>
      <c r="K21" s="54">
        <v>1</v>
      </c>
      <c r="L21" s="54">
        <v>1</v>
      </c>
      <c r="M21" s="54">
        <v>1</v>
      </c>
      <c r="N21" s="54">
        <v>1</v>
      </c>
      <c r="O21" s="54">
        <v>1</v>
      </c>
      <c r="P21" s="54">
        <v>1</v>
      </c>
      <c r="Q21" s="55">
        <f t="shared" si="3"/>
        <v>1</v>
      </c>
      <c r="R21" s="55">
        <f>SUMPRODUCT($I$11:$P$11,I21:P21)</f>
        <v>1</v>
      </c>
      <c r="S21" s="5"/>
      <c r="V21" s="8"/>
      <c r="W21" s="19"/>
      <c r="X21" s="19"/>
    </row>
    <row r="22" spans="1:24" customFormat="1" ht="65.099999999999994" customHeight="1" x14ac:dyDescent="0.3">
      <c r="A22" s="79">
        <v>8045</v>
      </c>
      <c r="B22" s="30" t="str">
        <f>IF(R22=1,"On time","Inprogress")</f>
        <v>On time</v>
      </c>
      <c r="C22" s="48" t="s">
        <v>1069</v>
      </c>
      <c r="D22" s="57" t="s">
        <v>964</v>
      </c>
      <c r="E22" s="50" t="s">
        <v>1065</v>
      </c>
      <c r="F22" s="50" t="s">
        <v>1001</v>
      </c>
      <c r="G22" s="50" t="s">
        <v>1065</v>
      </c>
      <c r="H22" s="50" t="s">
        <v>1085</v>
      </c>
      <c r="I22" s="54">
        <v>1</v>
      </c>
      <c r="J22" s="54">
        <v>1</v>
      </c>
      <c r="K22" s="54">
        <v>1</v>
      </c>
      <c r="L22" s="54">
        <v>1</v>
      </c>
      <c r="M22" s="54">
        <v>1</v>
      </c>
      <c r="N22" s="54">
        <v>1</v>
      </c>
      <c r="O22" s="54">
        <v>1</v>
      </c>
      <c r="P22" s="54">
        <v>1</v>
      </c>
      <c r="Q22" s="55">
        <f t="shared" si="3"/>
        <v>1</v>
      </c>
      <c r="R22" s="55">
        <f>SUMPRODUCT($I$11:$P$11,I22:P22)</f>
        <v>1</v>
      </c>
      <c r="S22" s="5"/>
      <c r="V22" s="8"/>
      <c r="W22" s="19"/>
      <c r="X22" s="19"/>
    </row>
    <row r="23" spans="1:24" customFormat="1" ht="65.099999999999994" customHeight="1" x14ac:dyDescent="0.3">
      <c r="A23" s="79">
        <v>8048</v>
      </c>
      <c r="B23" s="30" t="str">
        <f>IF(R23=1,"On time","Inprogress")</f>
        <v>On time</v>
      </c>
      <c r="C23" s="48" t="s">
        <v>1063</v>
      </c>
      <c r="D23" s="57" t="s">
        <v>964</v>
      </c>
      <c r="E23" s="50" t="s">
        <v>1065</v>
      </c>
      <c r="F23" s="50" t="s">
        <v>1001</v>
      </c>
      <c r="G23" s="50" t="s">
        <v>1065</v>
      </c>
      <c r="H23" s="50" t="s">
        <v>1112</v>
      </c>
      <c r="I23" s="54">
        <v>1</v>
      </c>
      <c r="J23" s="54">
        <v>1</v>
      </c>
      <c r="K23" s="54">
        <v>1</v>
      </c>
      <c r="L23" s="54">
        <v>1</v>
      </c>
      <c r="M23" s="54">
        <v>1</v>
      </c>
      <c r="N23" s="54">
        <v>1</v>
      </c>
      <c r="O23" s="54">
        <v>1</v>
      </c>
      <c r="P23" s="54">
        <v>1</v>
      </c>
      <c r="Q23" s="55">
        <f t="shared" si="3"/>
        <v>1</v>
      </c>
      <c r="R23" s="55">
        <f>SUMPRODUCT($I$11:$P$11,I23:P23)</f>
        <v>1</v>
      </c>
      <c r="S23" s="5"/>
      <c r="V23" s="8"/>
      <c r="W23" s="19"/>
      <c r="X23" s="19"/>
    </row>
    <row r="24" spans="1:24" customFormat="1" ht="65.099999999999994" customHeight="1" x14ac:dyDescent="0.3">
      <c r="A24" s="79">
        <v>8061</v>
      </c>
      <c r="B24" s="30" t="str">
        <f t="shared" si="0"/>
        <v>On time</v>
      </c>
      <c r="C24" s="48" t="s">
        <v>1037</v>
      </c>
      <c r="D24" s="57" t="s">
        <v>993</v>
      </c>
      <c r="E24" s="50"/>
      <c r="F24" s="50" t="s">
        <v>952</v>
      </c>
      <c r="G24" s="50"/>
      <c r="H24" s="50" t="s">
        <v>1114</v>
      </c>
      <c r="I24" s="54"/>
      <c r="J24" s="54">
        <v>1</v>
      </c>
      <c r="K24" s="54">
        <v>1</v>
      </c>
      <c r="L24" s="54">
        <v>1</v>
      </c>
      <c r="M24" s="54">
        <v>1</v>
      </c>
      <c r="N24" s="54">
        <v>1</v>
      </c>
      <c r="O24" s="54">
        <v>1</v>
      </c>
      <c r="P24" s="54">
        <v>1</v>
      </c>
      <c r="Q24" s="55">
        <f t="shared" si="3"/>
        <v>1</v>
      </c>
      <c r="R24" s="55">
        <f>SUMPRODUCT($I$12:$P$12,I24:P24)</f>
        <v>1</v>
      </c>
      <c r="S24" s="5"/>
      <c r="V24" s="8"/>
      <c r="W24" s="19"/>
      <c r="X24" s="19"/>
    </row>
    <row r="25" spans="1:24" customFormat="1" ht="65.099999999999994" customHeight="1" x14ac:dyDescent="0.3">
      <c r="A25" s="79">
        <v>8047</v>
      </c>
      <c r="B25" s="30" t="str">
        <f t="shared" si="0"/>
        <v>On time</v>
      </c>
      <c r="C25" s="48" t="s">
        <v>1061</v>
      </c>
      <c r="D25" s="57" t="s">
        <v>964</v>
      </c>
      <c r="E25" s="50" t="s">
        <v>1065</v>
      </c>
      <c r="F25" s="50" t="s">
        <v>1001</v>
      </c>
      <c r="G25" s="50"/>
      <c r="H25" s="50" t="s">
        <v>1085</v>
      </c>
      <c r="I25" s="54">
        <v>1</v>
      </c>
      <c r="J25" s="54">
        <v>1</v>
      </c>
      <c r="K25" s="54">
        <v>1</v>
      </c>
      <c r="L25" s="54">
        <v>1</v>
      </c>
      <c r="M25" s="54">
        <v>1</v>
      </c>
      <c r="N25" s="54">
        <v>1</v>
      </c>
      <c r="O25" s="54">
        <v>1</v>
      </c>
      <c r="P25" s="54">
        <v>1</v>
      </c>
      <c r="Q25" s="55">
        <f t="shared" ref="Q25" si="4">SUMPRODUCT($K$11:$P$11,K25:P25)/0.8</f>
        <v>1</v>
      </c>
      <c r="R25" s="55">
        <f t="shared" ref="R25" si="5">SUMPRODUCT($I$11:$P$11,I25:P25)</f>
        <v>1</v>
      </c>
      <c r="S25" s="5"/>
      <c r="V25" s="8"/>
      <c r="W25" s="19"/>
      <c r="X25" s="19"/>
    </row>
    <row r="26" spans="1:24" x14ac:dyDescent="0.3">
      <c r="F26" s="25"/>
      <c r="G26" s="25"/>
    </row>
    <row r="27" spans="1:24" x14ac:dyDescent="0.3">
      <c r="F27" s="25"/>
      <c r="G27" s="25"/>
    </row>
    <row r="28" spans="1:24" x14ac:dyDescent="0.3">
      <c r="F28" s="25"/>
      <c r="G28" s="25"/>
    </row>
    <row r="29" spans="1:24" x14ac:dyDescent="0.3">
      <c r="F29" s="25"/>
      <c r="G29" s="25"/>
    </row>
    <row r="30" spans="1:24" x14ac:dyDescent="0.3">
      <c r="F30" s="25"/>
      <c r="G30" s="25"/>
    </row>
    <row r="31" spans="1:24" x14ac:dyDescent="0.3">
      <c r="F31" s="25"/>
      <c r="G31" s="25"/>
    </row>
    <row r="32" spans="1:24" x14ac:dyDescent="0.3">
      <c r="F32" s="25"/>
      <c r="G32" s="25"/>
    </row>
    <row r="33" spans="1:38" x14ac:dyDescent="0.3">
      <c r="F33" s="25"/>
      <c r="G33" s="25"/>
    </row>
    <row r="34" spans="1:38" x14ac:dyDescent="0.3">
      <c r="F34" s="25"/>
      <c r="G34" s="25"/>
    </row>
    <row r="35" spans="1:38" x14ac:dyDescent="0.3">
      <c r="F35" s="25"/>
      <c r="G35" s="25"/>
    </row>
    <row r="36" spans="1:38" x14ac:dyDescent="0.3">
      <c r="F36" s="25"/>
      <c r="G36" s="25"/>
    </row>
    <row r="37" spans="1:38" s="27" customFormat="1" x14ac:dyDescent="0.3">
      <c r="A37" s="20"/>
      <c r="B37" s="21"/>
      <c r="C37" s="22"/>
      <c r="D37" s="22"/>
      <c r="E37" s="24"/>
      <c r="F37" s="25"/>
      <c r="G37" s="25"/>
      <c r="H37" s="24"/>
      <c r="K37" s="28"/>
      <c r="L37" s="28"/>
      <c r="M37" s="28"/>
      <c r="N37" s="28"/>
      <c r="O37" s="28"/>
      <c r="P37" s="28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1:38" s="27" customFormat="1" x14ac:dyDescent="0.3">
      <c r="A38" s="20"/>
      <c r="B38" s="21"/>
      <c r="C38" s="22"/>
      <c r="D38" s="22"/>
      <c r="E38" s="24"/>
      <c r="F38" s="25"/>
      <c r="G38" s="25"/>
      <c r="H38" s="24"/>
      <c r="K38" s="28"/>
      <c r="L38" s="28"/>
      <c r="M38" s="28"/>
      <c r="N38" s="28"/>
      <c r="O38" s="28"/>
      <c r="P38" s="28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1:38" s="27" customFormat="1" x14ac:dyDescent="0.3">
      <c r="A39" s="20"/>
      <c r="B39" s="21"/>
      <c r="C39" s="22"/>
      <c r="D39" s="22"/>
      <c r="E39" s="24"/>
      <c r="F39" s="25"/>
      <c r="G39" s="25"/>
      <c r="H39" s="24"/>
      <c r="K39" s="28"/>
      <c r="L39" s="28"/>
      <c r="M39" s="28"/>
      <c r="N39" s="28"/>
      <c r="O39" s="28"/>
      <c r="P39" s="28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1:38" s="27" customFormat="1" x14ac:dyDescent="0.3">
      <c r="A40" s="20"/>
      <c r="B40" s="21"/>
      <c r="C40" s="22"/>
      <c r="D40" s="22"/>
      <c r="E40" s="24"/>
      <c r="F40" s="25"/>
      <c r="G40" s="25"/>
      <c r="H40" s="24"/>
      <c r="K40" s="28"/>
      <c r="L40" s="28"/>
      <c r="M40" s="28"/>
      <c r="N40" s="28"/>
      <c r="O40" s="28"/>
      <c r="P40" s="28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1:38" s="27" customFormat="1" x14ac:dyDescent="0.3">
      <c r="A41" s="20"/>
      <c r="B41" s="21"/>
      <c r="C41" s="22"/>
      <c r="D41" s="22"/>
      <c r="E41" s="24"/>
      <c r="F41" s="25"/>
      <c r="G41" s="25"/>
      <c r="H41" s="24"/>
      <c r="K41" s="28"/>
      <c r="L41" s="28"/>
      <c r="M41" s="28"/>
      <c r="N41" s="28"/>
      <c r="O41" s="28"/>
      <c r="P41" s="28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1:38" s="27" customFormat="1" x14ac:dyDescent="0.3">
      <c r="A42" s="20"/>
      <c r="B42" s="21"/>
      <c r="C42" s="22"/>
      <c r="D42" s="22"/>
      <c r="E42" s="24"/>
      <c r="F42" s="25"/>
      <c r="G42" s="25"/>
      <c r="H42" s="24"/>
      <c r="K42" s="28"/>
      <c r="L42" s="28"/>
      <c r="M42" s="28"/>
      <c r="N42" s="28"/>
      <c r="O42" s="28"/>
      <c r="P42" s="28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1:38" s="27" customFormat="1" x14ac:dyDescent="0.3">
      <c r="A43" s="20"/>
      <c r="B43" s="21"/>
      <c r="C43" s="22"/>
      <c r="D43" s="22"/>
      <c r="E43" s="24"/>
      <c r="F43" s="25"/>
      <c r="G43" s="25"/>
      <c r="H43" s="24"/>
      <c r="K43" s="28"/>
      <c r="L43" s="28"/>
      <c r="M43" s="28"/>
      <c r="N43" s="28"/>
      <c r="O43" s="28"/>
      <c r="P43" s="28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1:38" s="27" customFormat="1" x14ac:dyDescent="0.3">
      <c r="A44" s="20"/>
      <c r="B44" s="21"/>
      <c r="C44" s="22"/>
      <c r="D44" s="22"/>
      <c r="E44" s="24"/>
      <c r="F44" s="25"/>
      <c r="G44" s="25"/>
      <c r="H44" s="24"/>
      <c r="K44" s="28"/>
      <c r="L44" s="28"/>
      <c r="M44" s="28"/>
      <c r="N44" s="28"/>
      <c r="O44" s="28"/>
      <c r="P44" s="28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1:38" s="27" customFormat="1" x14ac:dyDescent="0.3">
      <c r="A45" s="20"/>
      <c r="B45" s="21"/>
      <c r="C45" s="22"/>
      <c r="D45" s="22"/>
      <c r="E45" s="24"/>
      <c r="F45" s="25"/>
      <c r="G45" s="25"/>
      <c r="H45" s="24"/>
      <c r="K45" s="28"/>
      <c r="L45" s="28"/>
      <c r="M45" s="28"/>
      <c r="N45" s="28"/>
      <c r="O45" s="28"/>
      <c r="P45" s="28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1:38" s="27" customFormat="1" x14ac:dyDescent="0.3">
      <c r="A46" s="20"/>
      <c r="B46" s="21"/>
      <c r="C46" s="22"/>
      <c r="D46" s="22"/>
      <c r="E46" s="24" t="s">
        <v>926</v>
      </c>
      <c r="F46" s="25" t="s">
        <v>931</v>
      </c>
      <c r="G46" s="25" t="e">
        <f ca="1">[1]!s2m(E46)</f>
        <v>#NAME?</v>
      </c>
      <c r="H46" s="24" t="e">
        <f ca="1">[1]!s2m(F46)</f>
        <v>#NAME?</v>
      </c>
      <c r="I46" s="45" t="e">
        <f t="shared" ref="I46:I62" ca="1" si="6">H46-TODAY()</f>
        <v>#NAME?</v>
      </c>
      <c r="K46" s="28"/>
      <c r="L46" s="28"/>
      <c r="M46" s="28"/>
      <c r="N46" s="28"/>
      <c r="O46" s="28"/>
      <c r="P46" s="28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1:38" s="27" customFormat="1" x14ac:dyDescent="0.3">
      <c r="A47" s="20"/>
      <c r="B47" s="21"/>
      <c r="C47" s="22"/>
      <c r="D47" s="22"/>
      <c r="E47" s="24" t="s">
        <v>926</v>
      </c>
      <c r="F47" s="24" t="s">
        <v>931</v>
      </c>
      <c r="G47" s="25" t="e">
        <f ca="1">[1]!s2m(E47)</f>
        <v>#NAME?</v>
      </c>
      <c r="H47" s="24" t="e">
        <f ca="1">[1]!s2m(F47)</f>
        <v>#NAME?</v>
      </c>
      <c r="I47" s="45" t="e">
        <f t="shared" ca="1" si="6"/>
        <v>#NAME?</v>
      </c>
      <c r="K47" s="28"/>
      <c r="L47" s="28"/>
      <c r="M47" s="28"/>
      <c r="N47" s="28"/>
      <c r="O47" s="28"/>
      <c r="P47" s="28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1:38" s="27" customFormat="1" x14ac:dyDescent="0.3">
      <c r="A48" s="20"/>
      <c r="B48" s="21"/>
      <c r="C48" s="22"/>
      <c r="D48" s="22"/>
      <c r="E48" s="24" t="s">
        <v>927</v>
      </c>
      <c r="F48" s="24" t="s">
        <v>932</v>
      </c>
      <c r="G48" s="25" t="e">
        <f ca="1">[1]!s2m(E48)</f>
        <v>#NAME?</v>
      </c>
      <c r="H48" s="24" t="e">
        <f ca="1">[1]!s2m(F48)</f>
        <v>#NAME?</v>
      </c>
      <c r="I48" s="45" t="e">
        <f t="shared" ca="1" si="6"/>
        <v>#NAME?</v>
      </c>
      <c r="K48" s="28"/>
      <c r="L48" s="28"/>
      <c r="M48" s="28"/>
      <c r="N48" s="28"/>
      <c r="O48" s="28"/>
      <c r="P48" s="28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1:38" s="27" customFormat="1" x14ac:dyDescent="0.3">
      <c r="A49" s="20"/>
      <c r="B49" s="21"/>
      <c r="C49" s="22"/>
      <c r="D49" s="22"/>
      <c r="E49" s="24" t="s">
        <v>925</v>
      </c>
      <c r="F49" s="24" t="s">
        <v>933</v>
      </c>
      <c r="G49" s="25" t="e">
        <f ca="1">[1]!s2m(E49)</f>
        <v>#NAME?</v>
      </c>
      <c r="H49" s="24" t="e">
        <f ca="1">[1]!s2m(F49)</f>
        <v>#NAME?</v>
      </c>
      <c r="I49" s="45" t="e">
        <f t="shared" ca="1" si="6"/>
        <v>#NAME?</v>
      </c>
      <c r="K49" s="28"/>
      <c r="L49" s="28"/>
      <c r="M49" s="28"/>
      <c r="N49" s="28"/>
      <c r="O49" s="28"/>
      <c r="P49" s="28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1:38" s="27" customFormat="1" x14ac:dyDescent="0.3">
      <c r="A50" s="20"/>
      <c r="B50" s="21"/>
      <c r="C50" s="22"/>
      <c r="D50" s="22"/>
      <c r="E50" s="24" t="s">
        <v>928</v>
      </c>
      <c r="F50" s="24" t="s">
        <v>934</v>
      </c>
      <c r="G50" s="25" t="e">
        <f ca="1">[1]!s2m(E50)</f>
        <v>#NAME?</v>
      </c>
      <c r="H50" s="24" t="e">
        <f ca="1">[1]!s2m(F50)</f>
        <v>#NAME?</v>
      </c>
      <c r="I50" s="45" t="e">
        <f t="shared" ca="1" si="6"/>
        <v>#NAME?</v>
      </c>
      <c r="K50" s="28"/>
      <c r="L50" s="28"/>
      <c r="M50" s="28"/>
      <c r="N50" s="28"/>
      <c r="O50" s="28"/>
      <c r="P50" s="28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1:38" s="27" customFormat="1" x14ac:dyDescent="0.3">
      <c r="A51" s="20"/>
      <c r="B51" s="21"/>
      <c r="C51" s="22"/>
      <c r="D51" s="22"/>
      <c r="E51" s="24" t="s">
        <v>929</v>
      </c>
      <c r="F51" s="24" t="s">
        <v>935</v>
      </c>
      <c r="G51" s="25" t="e">
        <f ca="1">[1]!s2m(E51)</f>
        <v>#NAME?</v>
      </c>
      <c r="H51" s="24" t="e">
        <f ca="1">[1]!s2m(F51)</f>
        <v>#NAME?</v>
      </c>
      <c r="I51" s="45" t="e">
        <f t="shared" ca="1" si="6"/>
        <v>#NAME?</v>
      </c>
      <c r="K51" s="28"/>
      <c r="L51" s="28"/>
      <c r="M51" s="28"/>
      <c r="N51" s="28"/>
      <c r="O51" s="28"/>
      <c r="P51" s="28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1:38" s="27" customFormat="1" x14ac:dyDescent="0.3">
      <c r="A52" s="20"/>
      <c r="B52" s="21"/>
      <c r="C52" s="22"/>
      <c r="D52" s="22"/>
      <c r="E52" s="24" t="s">
        <v>930</v>
      </c>
      <c r="F52" s="24" t="s">
        <v>936</v>
      </c>
      <c r="G52" s="25" t="e">
        <f ca="1">[1]!s2m(E52)</f>
        <v>#NAME?</v>
      </c>
      <c r="H52" s="24" t="e">
        <f ca="1">[1]!s2m(F52)</f>
        <v>#NAME?</v>
      </c>
      <c r="I52" s="45" t="e">
        <f t="shared" ca="1" si="6"/>
        <v>#NAME?</v>
      </c>
      <c r="K52" s="28"/>
      <c r="L52" s="28"/>
      <c r="M52" s="28"/>
      <c r="N52" s="28"/>
      <c r="O52" s="28"/>
      <c r="P52" s="28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1:38" s="27" customFormat="1" x14ac:dyDescent="0.3">
      <c r="A53" s="20"/>
      <c r="B53" s="21"/>
      <c r="C53" s="22"/>
      <c r="D53" s="22"/>
      <c r="E53" s="24" t="s">
        <v>937</v>
      </c>
      <c r="F53" s="24" t="s">
        <v>944</v>
      </c>
      <c r="G53" s="25" t="e">
        <f ca="1">[1]!s2m(E53)</f>
        <v>#NAME?</v>
      </c>
      <c r="H53" s="24" t="e">
        <f ca="1">[1]!s2m(F53)</f>
        <v>#NAME?</v>
      </c>
      <c r="I53" s="45" t="e">
        <f t="shared" ca="1" si="6"/>
        <v>#NAME?</v>
      </c>
      <c r="K53" s="28"/>
      <c r="L53" s="28"/>
      <c r="M53" s="28"/>
      <c r="N53" s="28"/>
      <c r="O53" s="28"/>
      <c r="P53" s="28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1:38" s="27" customFormat="1" x14ac:dyDescent="0.3">
      <c r="A54" s="20"/>
      <c r="B54" s="21"/>
      <c r="C54" s="22"/>
      <c r="D54" s="22"/>
      <c r="E54" s="24" t="s">
        <v>938</v>
      </c>
      <c r="F54" s="24" t="s">
        <v>945</v>
      </c>
      <c r="G54" s="25" t="e">
        <f ca="1">[1]!s2m(E54)</f>
        <v>#NAME?</v>
      </c>
      <c r="H54" s="24" t="e">
        <f ca="1">[1]!s2m(F54)</f>
        <v>#NAME?</v>
      </c>
      <c r="I54" s="45" t="e">
        <f t="shared" ca="1" si="6"/>
        <v>#NAME?</v>
      </c>
      <c r="K54" s="28"/>
      <c r="L54" s="28"/>
      <c r="M54" s="28"/>
      <c r="N54" s="28"/>
      <c r="O54" s="28"/>
      <c r="P54" s="28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1:38" s="27" customFormat="1" x14ac:dyDescent="0.3">
      <c r="A55" s="20"/>
      <c r="B55" s="21"/>
      <c r="C55" s="22"/>
      <c r="D55" s="22"/>
      <c r="E55" s="24" t="s">
        <v>681</v>
      </c>
      <c r="F55" s="24" t="s">
        <v>946</v>
      </c>
      <c r="G55" s="25" t="e">
        <f ca="1">[1]!s2m(E55)</f>
        <v>#NAME?</v>
      </c>
      <c r="H55" s="24" t="e">
        <f ca="1">[1]!s2m(F55)</f>
        <v>#NAME?</v>
      </c>
      <c r="I55" s="45" t="e">
        <f t="shared" ca="1" si="6"/>
        <v>#NAME?</v>
      </c>
      <c r="K55" s="28"/>
      <c r="L55" s="28"/>
      <c r="M55" s="28"/>
      <c r="N55" s="28"/>
      <c r="O55" s="28"/>
      <c r="P55" s="28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1:38" s="27" customFormat="1" x14ac:dyDescent="0.3">
      <c r="A56" s="20"/>
      <c r="B56" s="21"/>
      <c r="C56" s="22"/>
      <c r="D56" s="22"/>
      <c r="E56" s="24" t="s">
        <v>939</v>
      </c>
      <c r="F56" s="24" t="s">
        <v>947</v>
      </c>
      <c r="G56" s="25" t="e">
        <f ca="1">[1]!s2m(E56)</f>
        <v>#NAME?</v>
      </c>
      <c r="H56" s="24" t="e">
        <f ca="1">[1]!s2m(F56)</f>
        <v>#NAME?</v>
      </c>
      <c r="I56" s="45" t="e">
        <f t="shared" ca="1" si="6"/>
        <v>#NAME?</v>
      </c>
      <c r="K56" s="28"/>
      <c r="L56" s="28"/>
      <c r="M56" s="28"/>
      <c r="N56" s="28"/>
      <c r="O56" s="28"/>
      <c r="P56" s="28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1:38" s="27" customFormat="1" x14ac:dyDescent="0.3">
      <c r="A57" s="20"/>
      <c r="B57" s="21"/>
      <c r="C57" s="22"/>
      <c r="D57" s="22"/>
      <c r="E57" s="24" t="s">
        <v>940</v>
      </c>
      <c r="F57" s="24" t="s">
        <v>948</v>
      </c>
      <c r="G57" s="25" t="e">
        <f ca="1">[1]!s2m(E57)</f>
        <v>#NAME?</v>
      </c>
      <c r="H57" s="24" t="e">
        <f ca="1">[1]!s2m(F57)</f>
        <v>#NAME?</v>
      </c>
      <c r="I57" s="45" t="e">
        <f t="shared" ca="1" si="6"/>
        <v>#NAME?</v>
      </c>
      <c r="K57" s="28"/>
      <c r="L57" s="28"/>
      <c r="M57" s="28"/>
      <c r="N57" s="28"/>
      <c r="O57" s="28"/>
      <c r="P57" s="28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1:38" s="27" customFormat="1" x14ac:dyDescent="0.3">
      <c r="A58" s="20"/>
      <c r="B58" s="21"/>
      <c r="C58" s="22"/>
      <c r="D58" s="22"/>
      <c r="E58" s="24" t="s">
        <v>941</v>
      </c>
      <c r="F58" s="24" t="s">
        <v>949</v>
      </c>
      <c r="G58" s="25" t="e">
        <f ca="1">[1]!s2m(E58)</f>
        <v>#NAME?</v>
      </c>
      <c r="H58" s="24" t="e">
        <f ca="1">[1]!s2m(F58)</f>
        <v>#NAME?</v>
      </c>
      <c r="I58" s="45" t="e">
        <f t="shared" ca="1" si="6"/>
        <v>#NAME?</v>
      </c>
      <c r="K58" s="28"/>
      <c r="L58" s="28"/>
      <c r="M58" s="28"/>
      <c r="N58" s="28"/>
      <c r="O58" s="28"/>
      <c r="P58" s="28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1:38" s="27" customFormat="1" x14ac:dyDescent="0.3">
      <c r="A59" s="20"/>
      <c r="B59" s="21"/>
      <c r="C59" s="22"/>
      <c r="D59" s="22"/>
      <c r="E59" s="24" t="s">
        <v>942</v>
      </c>
      <c r="F59" s="24" t="s">
        <v>950</v>
      </c>
      <c r="G59" s="25" t="e">
        <f ca="1">[1]!s2m(E59)</f>
        <v>#NAME?</v>
      </c>
      <c r="H59" s="24" t="e">
        <f ca="1">[1]!s2m(F59)</f>
        <v>#NAME?</v>
      </c>
      <c r="I59" s="45" t="e">
        <f t="shared" ca="1" si="6"/>
        <v>#NAME?</v>
      </c>
      <c r="K59" s="28"/>
      <c r="L59" s="28"/>
      <c r="M59" s="28"/>
      <c r="N59" s="28"/>
      <c r="O59" s="28"/>
      <c r="P59" s="28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1:38" s="27" customFormat="1" x14ac:dyDescent="0.3">
      <c r="A60" s="20"/>
      <c r="B60" s="21"/>
      <c r="C60" s="22"/>
      <c r="D60" s="22"/>
      <c r="E60" s="24" t="s">
        <v>943</v>
      </c>
      <c r="F60" s="24" t="s">
        <v>951</v>
      </c>
      <c r="G60" s="25" t="e">
        <f ca="1">[1]!s2m(E60)</f>
        <v>#NAME?</v>
      </c>
      <c r="H60" s="24" t="e">
        <f ca="1">[1]!s2m(F60)</f>
        <v>#NAME?</v>
      </c>
      <c r="I60" s="45" t="e">
        <f t="shared" ca="1" si="6"/>
        <v>#NAME?</v>
      </c>
      <c r="K60" s="28"/>
      <c r="L60" s="28"/>
      <c r="M60" s="28"/>
      <c r="N60" s="28"/>
      <c r="O60" s="28"/>
      <c r="P60" s="28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1:38" s="27" customFormat="1" x14ac:dyDescent="0.3">
      <c r="A61" s="20"/>
      <c r="B61" s="21"/>
      <c r="C61" s="22"/>
      <c r="D61" s="22"/>
      <c r="E61" s="24" t="s">
        <v>939</v>
      </c>
      <c r="F61" s="24" t="s">
        <v>947</v>
      </c>
      <c r="G61" s="25" t="e">
        <f ca="1">[1]!s2m(E61)</f>
        <v>#NAME?</v>
      </c>
      <c r="H61" s="24" t="e">
        <f ca="1">[1]!s2m(F61)</f>
        <v>#NAME?</v>
      </c>
      <c r="I61" s="45" t="e">
        <f t="shared" ca="1" si="6"/>
        <v>#NAME?</v>
      </c>
      <c r="K61" s="28"/>
      <c r="L61" s="28"/>
      <c r="M61" s="28"/>
      <c r="N61" s="28"/>
      <c r="O61" s="28"/>
      <c r="P61" s="28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1:38" s="27" customFormat="1" x14ac:dyDescent="0.3">
      <c r="A62" s="20"/>
      <c r="B62" s="21"/>
      <c r="C62" s="22"/>
      <c r="D62" s="22"/>
      <c r="E62" s="24" t="s">
        <v>943</v>
      </c>
      <c r="F62" s="24" t="s">
        <v>951</v>
      </c>
      <c r="G62" s="25" t="e">
        <f ca="1">[1]!s2m(E62)</f>
        <v>#NAME?</v>
      </c>
      <c r="H62" s="24" t="e">
        <f ca="1">[1]!s2m(F62)</f>
        <v>#NAME?</v>
      </c>
      <c r="I62" s="45" t="e">
        <f t="shared" ca="1" si="6"/>
        <v>#NAME?</v>
      </c>
      <c r="K62" s="28"/>
      <c r="L62" s="28"/>
      <c r="M62" s="28"/>
      <c r="N62" s="28"/>
      <c r="O62" s="28"/>
      <c r="P62" s="28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</sheetData>
  <mergeCells count="49"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W5:W6"/>
    <mergeCell ref="X5:X6"/>
    <mergeCell ref="A8:A11"/>
    <mergeCell ref="B8:B11"/>
    <mergeCell ref="C8:C11"/>
    <mergeCell ref="D8:D11"/>
    <mergeCell ref="E8:F9"/>
    <mergeCell ref="E10:E11"/>
    <mergeCell ref="F10:F11"/>
    <mergeCell ref="R11:R12"/>
    <mergeCell ref="G10:G11"/>
    <mergeCell ref="H10:H11"/>
    <mergeCell ref="G8:H9"/>
    <mergeCell ref="I8:P8"/>
    <mergeCell ref="Q8:Q10"/>
    <mergeCell ref="Q11:Q12"/>
    <mergeCell ref="R8:R10"/>
    <mergeCell ref="I9:I10"/>
    <mergeCell ref="J9:J10"/>
    <mergeCell ref="K9:K10"/>
    <mergeCell ref="L9:L10"/>
    <mergeCell ref="M9:M10"/>
    <mergeCell ref="N9:N10"/>
    <mergeCell ref="O9:O10"/>
    <mergeCell ref="P9:P10"/>
  </mergeCells>
  <phoneticPr fontId="24" type="noConversion"/>
  <conditionalFormatting sqref="B13:B25">
    <cfRule type="cellIs" dxfId="24" priority="3" operator="equal">
      <formula>"Delete"</formula>
    </cfRule>
    <cfRule type="cellIs" dxfId="23" priority="8" operator="equal">
      <formula>"On time"</formula>
    </cfRule>
    <cfRule type="cellIs" dxfId="22" priority="9" operator="equal">
      <formula>"Delay"</formula>
    </cfRule>
    <cfRule type="cellIs" dxfId="21" priority="11" operator="equal">
      <formula>"Inprogress"</formula>
    </cfRule>
    <cfRule type="cellIs" dxfId="20" priority="12" operator="equal">
      <formula>"Ahead of schedule"</formula>
    </cfRule>
  </conditionalFormatting>
  <conditionalFormatting sqref="B6:D6">
    <cfRule type="cellIs" dxfId="19" priority="10" operator="equal">
      <formula>"Delay"</formula>
    </cfRule>
  </conditionalFormatting>
  <conditionalFormatting sqref="I13:R25">
    <cfRule type="cellIs" dxfId="18" priority="2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{4A36681B-DBCB-4C94-9414-798BC20706B2}</x14:id>
        </ext>
      </extLst>
    </cfRule>
  </conditionalFormatting>
  <conditionalFormatting sqref="Q13:R25">
    <cfRule type="cellIs" dxfId="17" priority="5" operator="between">
      <formula>0.01</formula>
      <formula>0.99</formula>
    </cfRule>
    <cfRule type="cellIs" dxfId="16" priority="7" operator="equal">
      <formula>0</formula>
    </cfRule>
  </conditionalFormatting>
  <pageMargins left="0.1" right="0" top="0.1" bottom="0" header="0" footer="0"/>
  <pageSetup paperSize="9" scale="36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36681B-DBCB-4C94-9414-798BC20706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267"/>
  <sheetViews>
    <sheetView workbookViewId="0">
      <selection activeCell="B1" sqref="B1"/>
    </sheetView>
  </sheetViews>
  <sheetFormatPr defaultRowHeight="14.4" x14ac:dyDescent="0.3"/>
  <cols>
    <col min="1" max="1" width="32.44140625" bestFit="1" customWidth="1"/>
    <col min="2" max="2" width="59.6640625" style="4" bestFit="1" customWidth="1"/>
    <col min="3" max="3" width="12.5546875" bestFit="1" customWidth="1"/>
    <col min="4" max="4" width="18.5546875" bestFit="1" customWidth="1"/>
    <col min="5" max="5" width="22.44140625" bestFit="1" customWidth="1"/>
    <col min="6" max="6" width="16.6640625" bestFit="1" customWidth="1"/>
    <col min="7" max="7" width="17.88671875" bestFit="1" customWidth="1"/>
    <col min="8" max="9" width="10.6640625" style="4" bestFit="1" customWidth="1"/>
  </cols>
  <sheetData>
    <row r="1" spans="1:9" x14ac:dyDescent="0.3">
      <c r="A1" t="s">
        <v>175</v>
      </c>
      <c r="B1" s="4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s="4" t="s">
        <v>182</v>
      </c>
      <c r="I1" s="4" t="s">
        <v>183</v>
      </c>
    </row>
    <row r="2" spans="1:9" x14ac:dyDescent="0.3">
      <c r="A2" t="s">
        <v>184</v>
      </c>
      <c r="C2" t="s">
        <v>185</v>
      </c>
      <c r="D2" t="s">
        <v>186</v>
      </c>
      <c r="E2">
        <v>100</v>
      </c>
      <c r="F2" t="s">
        <v>187</v>
      </c>
      <c r="G2" t="s">
        <v>188</v>
      </c>
    </row>
    <row r="3" spans="1:9" x14ac:dyDescent="0.3">
      <c r="A3" t="s">
        <v>189</v>
      </c>
      <c r="C3" t="s">
        <v>190</v>
      </c>
      <c r="D3" t="s">
        <v>191</v>
      </c>
      <c r="E3">
        <v>2.11</v>
      </c>
      <c r="F3" t="s">
        <v>187</v>
      </c>
      <c r="G3" t="s">
        <v>192</v>
      </c>
    </row>
    <row r="4" spans="1:9" x14ac:dyDescent="0.3">
      <c r="A4" t="s">
        <v>193</v>
      </c>
      <c r="B4" s="4" t="s">
        <v>194</v>
      </c>
      <c r="C4" t="s">
        <v>185</v>
      </c>
      <c r="D4" t="s">
        <v>195</v>
      </c>
      <c r="E4">
        <v>0.28000000000000003</v>
      </c>
      <c r="F4" t="s">
        <v>187</v>
      </c>
      <c r="G4" t="s">
        <v>196</v>
      </c>
      <c r="H4" s="4" t="s">
        <v>197</v>
      </c>
      <c r="I4" s="4" t="s">
        <v>198</v>
      </c>
    </row>
    <row r="5" spans="1:9" x14ac:dyDescent="0.3">
      <c r="A5" t="s">
        <v>199</v>
      </c>
      <c r="B5" s="4" t="s">
        <v>200</v>
      </c>
      <c r="C5" t="s">
        <v>185</v>
      </c>
      <c r="D5" t="s">
        <v>190</v>
      </c>
      <c r="E5">
        <v>0.7</v>
      </c>
      <c r="F5" t="s">
        <v>201</v>
      </c>
      <c r="G5" t="s">
        <v>202</v>
      </c>
      <c r="H5" s="4" t="s">
        <v>203</v>
      </c>
      <c r="I5" s="4" t="s">
        <v>167</v>
      </c>
    </row>
    <row r="6" spans="1:9" x14ac:dyDescent="0.3">
      <c r="A6" t="s">
        <v>204</v>
      </c>
      <c r="B6" s="4" t="s">
        <v>205</v>
      </c>
      <c r="C6" t="s">
        <v>185</v>
      </c>
      <c r="D6" t="s">
        <v>206</v>
      </c>
      <c r="E6">
        <v>0.35</v>
      </c>
      <c r="F6" t="s">
        <v>201</v>
      </c>
      <c r="G6" t="s">
        <v>207</v>
      </c>
      <c r="H6" s="4" t="s">
        <v>203</v>
      </c>
      <c r="I6" s="4" t="s">
        <v>168</v>
      </c>
    </row>
    <row r="7" spans="1:9" x14ac:dyDescent="0.3">
      <c r="A7" t="s">
        <v>208</v>
      </c>
      <c r="B7" s="4" t="s">
        <v>209</v>
      </c>
      <c r="C7" t="s">
        <v>185</v>
      </c>
      <c r="D7" t="s">
        <v>210</v>
      </c>
      <c r="E7">
        <v>0.35</v>
      </c>
      <c r="F7" t="s">
        <v>211</v>
      </c>
      <c r="G7" t="s">
        <v>211</v>
      </c>
      <c r="H7" s="4" t="s">
        <v>164</v>
      </c>
      <c r="I7" s="4" t="s">
        <v>164</v>
      </c>
    </row>
    <row r="8" spans="1:9" x14ac:dyDescent="0.3">
      <c r="A8" t="s">
        <v>212</v>
      </c>
      <c r="B8" s="4" t="s">
        <v>213</v>
      </c>
      <c r="C8" t="s">
        <v>185</v>
      </c>
      <c r="D8" t="s">
        <v>210</v>
      </c>
      <c r="E8">
        <v>0.14000000000000001</v>
      </c>
      <c r="F8" t="s">
        <v>214</v>
      </c>
      <c r="G8" t="s">
        <v>214</v>
      </c>
      <c r="H8" s="4" t="s">
        <v>215</v>
      </c>
      <c r="I8" s="4" t="s">
        <v>215</v>
      </c>
    </row>
    <row r="9" spans="1:9" x14ac:dyDescent="0.3">
      <c r="A9" t="s">
        <v>216</v>
      </c>
      <c r="B9" s="4" t="s">
        <v>217</v>
      </c>
      <c r="C9" t="s">
        <v>190</v>
      </c>
      <c r="D9" t="s">
        <v>210</v>
      </c>
      <c r="E9">
        <v>0.28000000000000003</v>
      </c>
      <c r="F9" t="s">
        <v>192</v>
      </c>
      <c r="G9" t="s">
        <v>192</v>
      </c>
      <c r="H9" s="4" t="s">
        <v>218</v>
      </c>
      <c r="I9" s="4" t="s">
        <v>218</v>
      </c>
    </row>
    <row r="10" spans="1:9" x14ac:dyDescent="0.3">
      <c r="A10" t="s">
        <v>219</v>
      </c>
      <c r="C10" t="s">
        <v>220</v>
      </c>
      <c r="D10" t="s">
        <v>221</v>
      </c>
      <c r="E10">
        <v>15.77</v>
      </c>
      <c r="F10" t="s">
        <v>222</v>
      </c>
      <c r="G10" t="s">
        <v>223</v>
      </c>
    </row>
    <row r="11" spans="1:9" x14ac:dyDescent="0.3">
      <c r="A11">
        <v>7411</v>
      </c>
      <c r="B11" s="4" t="s">
        <v>224</v>
      </c>
      <c r="C11" t="s">
        <v>225</v>
      </c>
      <c r="D11" t="s">
        <v>190</v>
      </c>
      <c r="E11">
        <v>0.56000000000000005</v>
      </c>
      <c r="F11" t="s">
        <v>226</v>
      </c>
      <c r="G11" t="s">
        <v>227</v>
      </c>
      <c r="H11" s="4" t="s">
        <v>166</v>
      </c>
      <c r="I11" s="4" t="s">
        <v>228</v>
      </c>
    </row>
    <row r="12" spans="1:9" x14ac:dyDescent="0.3">
      <c r="A12" t="s">
        <v>229</v>
      </c>
      <c r="B12" s="4" t="s">
        <v>230</v>
      </c>
      <c r="C12" t="s">
        <v>185</v>
      </c>
      <c r="D12" t="s">
        <v>210</v>
      </c>
      <c r="E12">
        <v>0.35</v>
      </c>
      <c r="F12" t="s">
        <v>222</v>
      </c>
      <c r="G12" t="s">
        <v>222</v>
      </c>
      <c r="H12" s="4" t="s">
        <v>231</v>
      </c>
      <c r="I12" s="4" t="s">
        <v>231</v>
      </c>
    </row>
    <row r="13" spans="1:9" x14ac:dyDescent="0.3">
      <c r="A13" t="s">
        <v>232</v>
      </c>
      <c r="B13" s="4" t="s">
        <v>233</v>
      </c>
      <c r="C13" t="s">
        <v>185</v>
      </c>
      <c r="D13" t="s">
        <v>234</v>
      </c>
      <c r="E13">
        <v>0.56000000000000005</v>
      </c>
      <c r="F13" t="s">
        <v>235</v>
      </c>
      <c r="G13" t="s">
        <v>236</v>
      </c>
      <c r="H13" s="4" t="s">
        <v>163</v>
      </c>
      <c r="I13" s="4" t="s">
        <v>237</v>
      </c>
    </row>
    <row r="14" spans="1:9" x14ac:dyDescent="0.3">
      <c r="A14" t="s">
        <v>238</v>
      </c>
      <c r="B14" s="4" t="s">
        <v>239</v>
      </c>
      <c r="C14" t="s">
        <v>185</v>
      </c>
      <c r="D14" t="s">
        <v>220</v>
      </c>
      <c r="E14">
        <v>0.7</v>
      </c>
      <c r="F14" t="s">
        <v>240</v>
      </c>
      <c r="G14" t="s">
        <v>241</v>
      </c>
      <c r="H14" s="4" t="s">
        <v>242</v>
      </c>
      <c r="I14" s="4" t="s">
        <v>243</v>
      </c>
    </row>
    <row r="15" spans="1:9" x14ac:dyDescent="0.3">
      <c r="A15" t="s">
        <v>244</v>
      </c>
      <c r="B15" s="4" t="s">
        <v>245</v>
      </c>
      <c r="C15" t="s">
        <v>185</v>
      </c>
      <c r="D15" t="s">
        <v>210</v>
      </c>
      <c r="E15">
        <v>0.42</v>
      </c>
      <c r="F15" t="s">
        <v>246</v>
      </c>
      <c r="G15" t="s">
        <v>246</v>
      </c>
      <c r="H15" s="4" t="s">
        <v>247</v>
      </c>
      <c r="I15" s="4" t="s">
        <v>247</v>
      </c>
    </row>
    <row r="16" spans="1:9" x14ac:dyDescent="0.3">
      <c r="A16" t="s">
        <v>248</v>
      </c>
      <c r="B16" s="4" t="s">
        <v>249</v>
      </c>
      <c r="C16" t="s">
        <v>185</v>
      </c>
      <c r="D16" t="s">
        <v>210</v>
      </c>
      <c r="E16">
        <v>0.21</v>
      </c>
      <c r="F16" t="s">
        <v>250</v>
      </c>
      <c r="G16" t="s">
        <v>250</v>
      </c>
      <c r="H16" s="4" t="s">
        <v>251</v>
      </c>
      <c r="I16" s="4" t="s">
        <v>251</v>
      </c>
    </row>
    <row r="17" spans="1:9" x14ac:dyDescent="0.3">
      <c r="A17" t="s">
        <v>252</v>
      </c>
      <c r="B17" s="4" t="s">
        <v>253</v>
      </c>
      <c r="C17" t="s">
        <v>185</v>
      </c>
      <c r="D17" t="s">
        <v>254</v>
      </c>
      <c r="E17">
        <v>0.7</v>
      </c>
      <c r="F17" t="s">
        <v>255</v>
      </c>
      <c r="G17" t="s">
        <v>256</v>
      </c>
      <c r="H17" s="4" t="s">
        <v>257</v>
      </c>
      <c r="I17" s="4" t="s">
        <v>258</v>
      </c>
    </row>
    <row r="18" spans="1:9" x14ac:dyDescent="0.3">
      <c r="A18" t="s">
        <v>259</v>
      </c>
      <c r="B18" s="4" t="s">
        <v>260</v>
      </c>
      <c r="C18" t="s">
        <v>261</v>
      </c>
      <c r="D18" t="s">
        <v>261</v>
      </c>
      <c r="E18">
        <v>0.21</v>
      </c>
      <c r="F18" t="s">
        <v>262</v>
      </c>
      <c r="G18" t="s">
        <v>263</v>
      </c>
      <c r="H18" s="4" t="s">
        <v>264</v>
      </c>
      <c r="I18" s="4" t="s">
        <v>265</v>
      </c>
    </row>
    <row r="19" spans="1:9" x14ac:dyDescent="0.3">
      <c r="A19" t="s">
        <v>266</v>
      </c>
      <c r="B19" s="4" t="s">
        <v>267</v>
      </c>
      <c r="C19" t="s">
        <v>261</v>
      </c>
      <c r="D19" t="s">
        <v>268</v>
      </c>
      <c r="E19">
        <v>0.7</v>
      </c>
      <c r="F19" t="s">
        <v>269</v>
      </c>
      <c r="G19" t="s">
        <v>270</v>
      </c>
      <c r="H19" s="4" t="s">
        <v>271</v>
      </c>
      <c r="I19" s="4" t="s">
        <v>272</v>
      </c>
    </row>
    <row r="20" spans="1:9" x14ac:dyDescent="0.3">
      <c r="A20" t="s">
        <v>273</v>
      </c>
      <c r="B20" s="4" t="s">
        <v>274</v>
      </c>
      <c r="C20" t="s">
        <v>261</v>
      </c>
      <c r="D20" t="s">
        <v>254</v>
      </c>
      <c r="E20">
        <v>0.7</v>
      </c>
      <c r="F20" t="s">
        <v>275</v>
      </c>
      <c r="G20" t="s">
        <v>223</v>
      </c>
      <c r="H20" s="4" t="s">
        <v>276</v>
      </c>
      <c r="I20" s="4" t="s">
        <v>277</v>
      </c>
    </row>
    <row r="21" spans="1:9" x14ac:dyDescent="0.3">
      <c r="A21" t="s">
        <v>278</v>
      </c>
      <c r="C21" t="s">
        <v>279</v>
      </c>
      <c r="D21" t="s">
        <v>280</v>
      </c>
      <c r="E21">
        <v>5.77</v>
      </c>
      <c r="F21" t="s">
        <v>281</v>
      </c>
      <c r="G21" t="s">
        <v>282</v>
      </c>
    </row>
    <row r="22" spans="1:9" x14ac:dyDescent="0.3">
      <c r="A22" t="s">
        <v>283</v>
      </c>
      <c r="B22" s="4" t="s">
        <v>284</v>
      </c>
      <c r="C22" t="s">
        <v>185</v>
      </c>
      <c r="D22" t="s">
        <v>190</v>
      </c>
      <c r="E22">
        <v>0.7</v>
      </c>
      <c r="F22" t="s">
        <v>281</v>
      </c>
      <c r="G22" t="s">
        <v>285</v>
      </c>
      <c r="H22" s="4" t="s">
        <v>286</v>
      </c>
      <c r="I22" s="4" t="s">
        <v>169</v>
      </c>
    </row>
    <row r="23" spans="1:9" x14ac:dyDescent="0.3">
      <c r="A23" t="s">
        <v>287</v>
      </c>
      <c r="B23" s="4" t="s">
        <v>288</v>
      </c>
      <c r="C23" t="s">
        <v>185</v>
      </c>
      <c r="D23" t="s">
        <v>190</v>
      </c>
      <c r="E23">
        <v>0.63</v>
      </c>
      <c r="F23" t="s">
        <v>289</v>
      </c>
      <c r="G23" t="s">
        <v>290</v>
      </c>
      <c r="H23" s="4" t="s">
        <v>165</v>
      </c>
      <c r="I23" s="4" t="s">
        <v>291</v>
      </c>
    </row>
    <row r="24" spans="1:9" x14ac:dyDescent="0.3">
      <c r="A24" t="s">
        <v>292</v>
      </c>
      <c r="B24" s="4" t="s">
        <v>293</v>
      </c>
      <c r="C24" t="s">
        <v>185</v>
      </c>
      <c r="D24" t="s">
        <v>294</v>
      </c>
      <c r="E24">
        <v>0.63</v>
      </c>
      <c r="F24" t="s">
        <v>295</v>
      </c>
      <c r="G24" t="s">
        <v>296</v>
      </c>
      <c r="H24" s="4" t="s">
        <v>297</v>
      </c>
      <c r="I24" s="4" t="s">
        <v>298</v>
      </c>
    </row>
    <row r="25" spans="1:9" x14ac:dyDescent="0.3">
      <c r="A25" t="s">
        <v>299</v>
      </c>
      <c r="B25" s="4" t="s">
        <v>300</v>
      </c>
      <c r="C25" t="s">
        <v>195</v>
      </c>
      <c r="D25" t="s">
        <v>301</v>
      </c>
      <c r="E25">
        <v>0.63</v>
      </c>
      <c r="F25" t="s">
        <v>302</v>
      </c>
      <c r="G25" t="s">
        <v>303</v>
      </c>
      <c r="H25" s="4" t="s">
        <v>304</v>
      </c>
      <c r="I25" s="4" t="s">
        <v>305</v>
      </c>
    </row>
    <row r="26" spans="1:9" x14ac:dyDescent="0.3">
      <c r="A26" t="s">
        <v>306</v>
      </c>
      <c r="B26" s="4" t="s">
        <v>307</v>
      </c>
      <c r="C26" t="s">
        <v>195</v>
      </c>
      <c r="D26" t="s">
        <v>301</v>
      </c>
      <c r="E26">
        <v>0.63</v>
      </c>
      <c r="F26" t="s">
        <v>302</v>
      </c>
      <c r="G26" t="s">
        <v>303</v>
      </c>
      <c r="H26" s="4" t="s">
        <v>304</v>
      </c>
      <c r="I26" s="4" t="s">
        <v>305</v>
      </c>
    </row>
    <row r="27" spans="1:9" x14ac:dyDescent="0.3">
      <c r="A27" t="s">
        <v>308</v>
      </c>
      <c r="B27" s="4" t="s">
        <v>309</v>
      </c>
      <c r="C27" t="s">
        <v>310</v>
      </c>
      <c r="D27" t="s">
        <v>310</v>
      </c>
      <c r="E27">
        <v>0.63</v>
      </c>
      <c r="F27" t="s">
        <v>311</v>
      </c>
      <c r="G27" t="s">
        <v>312</v>
      </c>
      <c r="H27" s="4" t="s">
        <v>313</v>
      </c>
      <c r="I27" s="4" t="s">
        <v>314</v>
      </c>
    </row>
    <row r="28" spans="1:9" x14ac:dyDescent="0.3">
      <c r="A28" t="s">
        <v>315</v>
      </c>
      <c r="B28" s="4" t="s">
        <v>316</v>
      </c>
      <c r="C28" t="s">
        <v>190</v>
      </c>
      <c r="D28" t="s">
        <v>220</v>
      </c>
      <c r="E28">
        <v>0.63</v>
      </c>
      <c r="F28" t="s">
        <v>311</v>
      </c>
      <c r="G28" t="s">
        <v>250</v>
      </c>
      <c r="H28" s="4" t="s">
        <v>313</v>
      </c>
      <c r="I28" s="4" t="s">
        <v>251</v>
      </c>
    </row>
    <row r="29" spans="1:9" x14ac:dyDescent="0.3">
      <c r="A29" t="s">
        <v>317</v>
      </c>
      <c r="B29" s="4" t="s">
        <v>318</v>
      </c>
      <c r="C29" t="s">
        <v>190</v>
      </c>
      <c r="D29" t="s">
        <v>220</v>
      </c>
      <c r="E29">
        <v>0.63</v>
      </c>
      <c r="F29" t="s">
        <v>311</v>
      </c>
      <c r="G29" t="s">
        <v>250</v>
      </c>
      <c r="H29" s="4" t="s">
        <v>313</v>
      </c>
      <c r="I29" s="4" t="s">
        <v>251</v>
      </c>
    </row>
    <row r="30" spans="1:9" x14ac:dyDescent="0.3">
      <c r="A30" t="s">
        <v>319</v>
      </c>
      <c r="B30" s="4" t="s">
        <v>320</v>
      </c>
      <c r="C30" t="s">
        <v>279</v>
      </c>
      <c r="D30" t="s">
        <v>321</v>
      </c>
      <c r="E30">
        <v>0.63</v>
      </c>
      <c r="F30" t="s">
        <v>311</v>
      </c>
      <c r="G30" t="s">
        <v>282</v>
      </c>
      <c r="H30" s="4" t="s">
        <v>313</v>
      </c>
      <c r="I30" s="4" t="s">
        <v>322</v>
      </c>
    </row>
    <row r="31" spans="1:9" x14ac:dyDescent="0.3">
      <c r="A31" t="s">
        <v>323</v>
      </c>
      <c r="C31" t="s">
        <v>220</v>
      </c>
      <c r="D31" t="s">
        <v>324</v>
      </c>
      <c r="E31">
        <v>2.3199999999999998</v>
      </c>
      <c r="F31" t="s">
        <v>325</v>
      </c>
      <c r="G31" t="s">
        <v>326</v>
      </c>
    </row>
    <row r="32" spans="1:9" x14ac:dyDescent="0.3">
      <c r="A32" t="s">
        <v>327</v>
      </c>
      <c r="B32" s="4" t="s">
        <v>328</v>
      </c>
      <c r="C32" t="s">
        <v>190</v>
      </c>
      <c r="D32" t="s">
        <v>210</v>
      </c>
      <c r="E32">
        <v>0.21</v>
      </c>
      <c r="F32" t="s">
        <v>255</v>
      </c>
      <c r="G32" t="s">
        <v>255</v>
      </c>
      <c r="H32" s="4" t="s">
        <v>257</v>
      </c>
      <c r="I32" s="4" t="s">
        <v>257</v>
      </c>
    </row>
    <row r="33" spans="1:9" x14ac:dyDescent="0.3">
      <c r="A33" t="s">
        <v>329</v>
      </c>
      <c r="B33" s="4" t="s">
        <v>330</v>
      </c>
      <c r="C33" t="s">
        <v>220</v>
      </c>
      <c r="D33" t="s">
        <v>331</v>
      </c>
      <c r="E33">
        <v>0.21</v>
      </c>
      <c r="F33" t="s">
        <v>332</v>
      </c>
      <c r="G33" t="s">
        <v>326</v>
      </c>
      <c r="H33" s="4" t="s">
        <v>333</v>
      </c>
      <c r="I33" s="4" t="s">
        <v>334</v>
      </c>
    </row>
    <row r="34" spans="1:9" x14ac:dyDescent="0.3">
      <c r="A34" t="s">
        <v>335</v>
      </c>
      <c r="B34" s="4" t="s">
        <v>336</v>
      </c>
      <c r="C34" t="s">
        <v>190</v>
      </c>
      <c r="D34" t="s">
        <v>331</v>
      </c>
      <c r="E34">
        <v>0.21</v>
      </c>
      <c r="F34" t="s">
        <v>332</v>
      </c>
      <c r="G34" t="s">
        <v>326</v>
      </c>
      <c r="H34" s="4" t="s">
        <v>333</v>
      </c>
      <c r="I34" s="4" t="s">
        <v>334</v>
      </c>
    </row>
    <row r="35" spans="1:9" x14ac:dyDescent="0.3">
      <c r="A35" t="s">
        <v>337</v>
      </c>
      <c r="B35" s="4" t="s">
        <v>338</v>
      </c>
      <c r="C35" t="s">
        <v>190</v>
      </c>
      <c r="D35" t="s">
        <v>331</v>
      </c>
      <c r="E35">
        <v>0.21</v>
      </c>
      <c r="F35" t="s">
        <v>332</v>
      </c>
      <c r="G35" t="s">
        <v>326</v>
      </c>
      <c r="H35" s="4" t="s">
        <v>333</v>
      </c>
      <c r="I35" s="4" t="s">
        <v>334</v>
      </c>
    </row>
    <row r="36" spans="1:9" x14ac:dyDescent="0.3">
      <c r="A36" t="s">
        <v>339</v>
      </c>
      <c r="B36" s="4" t="s">
        <v>340</v>
      </c>
      <c r="C36" t="s">
        <v>220</v>
      </c>
      <c r="D36" t="s">
        <v>331</v>
      </c>
      <c r="E36">
        <v>0.21</v>
      </c>
      <c r="F36" t="s">
        <v>332</v>
      </c>
      <c r="G36" t="s">
        <v>326</v>
      </c>
      <c r="H36" s="4" t="s">
        <v>333</v>
      </c>
      <c r="I36" s="4" t="s">
        <v>334</v>
      </c>
    </row>
    <row r="37" spans="1:9" x14ac:dyDescent="0.3">
      <c r="A37" t="s">
        <v>341</v>
      </c>
      <c r="B37" s="4" t="s">
        <v>342</v>
      </c>
      <c r="C37" t="s">
        <v>190</v>
      </c>
      <c r="D37" t="s">
        <v>331</v>
      </c>
      <c r="E37">
        <v>0.21</v>
      </c>
      <c r="F37" t="s">
        <v>332</v>
      </c>
      <c r="G37" t="s">
        <v>326</v>
      </c>
      <c r="H37" s="4" t="s">
        <v>333</v>
      </c>
      <c r="I37" s="4" t="s">
        <v>334</v>
      </c>
    </row>
    <row r="38" spans="1:9" x14ac:dyDescent="0.3">
      <c r="A38" t="s">
        <v>343</v>
      </c>
      <c r="B38" s="4" t="s">
        <v>344</v>
      </c>
      <c r="C38" t="s">
        <v>185</v>
      </c>
      <c r="D38" t="s">
        <v>301</v>
      </c>
      <c r="E38">
        <v>0.21</v>
      </c>
      <c r="F38" t="s">
        <v>325</v>
      </c>
      <c r="G38" t="s">
        <v>345</v>
      </c>
      <c r="H38" s="4" t="s">
        <v>170</v>
      </c>
      <c r="I38" s="4" t="s">
        <v>346</v>
      </c>
    </row>
    <row r="39" spans="1:9" x14ac:dyDescent="0.3">
      <c r="A39" t="s">
        <v>347</v>
      </c>
      <c r="B39" s="4" t="s">
        <v>348</v>
      </c>
      <c r="C39" t="s">
        <v>220</v>
      </c>
      <c r="D39" t="s">
        <v>331</v>
      </c>
      <c r="E39">
        <v>0.21</v>
      </c>
      <c r="F39" t="s">
        <v>332</v>
      </c>
      <c r="G39" t="s">
        <v>326</v>
      </c>
      <c r="H39" s="4" t="s">
        <v>333</v>
      </c>
      <c r="I39" s="4" t="s">
        <v>334</v>
      </c>
    </row>
    <row r="40" spans="1:9" x14ac:dyDescent="0.3">
      <c r="A40" t="s">
        <v>349</v>
      </c>
      <c r="B40" s="4" t="s">
        <v>350</v>
      </c>
      <c r="C40" t="s">
        <v>220</v>
      </c>
      <c r="D40" t="s">
        <v>331</v>
      </c>
      <c r="E40">
        <v>0.21</v>
      </c>
      <c r="F40" t="s">
        <v>332</v>
      </c>
      <c r="G40" t="s">
        <v>326</v>
      </c>
      <c r="H40" s="4" t="s">
        <v>333</v>
      </c>
      <c r="I40" s="4" t="s">
        <v>334</v>
      </c>
    </row>
    <row r="41" spans="1:9" x14ac:dyDescent="0.3">
      <c r="A41" t="s">
        <v>351</v>
      </c>
      <c r="B41" s="4" t="s">
        <v>352</v>
      </c>
      <c r="C41" t="s">
        <v>353</v>
      </c>
      <c r="D41" t="s">
        <v>190</v>
      </c>
      <c r="E41">
        <v>0.21</v>
      </c>
      <c r="F41" t="s">
        <v>332</v>
      </c>
      <c r="G41" t="s">
        <v>354</v>
      </c>
      <c r="H41" s="4" t="s">
        <v>333</v>
      </c>
      <c r="I41" s="4" t="s">
        <v>355</v>
      </c>
    </row>
    <row r="42" spans="1:9" x14ac:dyDescent="0.3">
      <c r="A42" t="s">
        <v>356</v>
      </c>
      <c r="B42" s="4" t="s">
        <v>357</v>
      </c>
      <c r="C42" t="s">
        <v>220</v>
      </c>
      <c r="D42" t="s">
        <v>331</v>
      </c>
      <c r="E42">
        <v>0.21</v>
      </c>
      <c r="F42" t="s">
        <v>332</v>
      </c>
      <c r="G42" t="s">
        <v>326</v>
      </c>
      <c r="H42" s="4" t="s">
        <v>333</v>
      </c>
      <c r="I42" s="4" t="s">
        <v>334</v>
      </c>
    </row>
    <row r="43" spans="1:9" x14ac:dyDescent="0.3">
      <c r="A43" t="s">
        <v>358</v>
      </c>
      <c r="C43" t="s">
        <v>359</v>
      </c>
      <c r="D43" t="s">
        <v>360</v>
      </c>
      <c r="E43">
        <v>2.54</v>
      </c>
      <c r="F43" t="s">
        <v>312</v>
      </c>
      <c r="G43" t="s">
        <v>361</v>
      </c>
    </row>
    <row r="44" spans="1:9" x14ac:dyDescent="0.3">
      <c r="A44" t="s">
        <v>362</v>
      </c>
      <c r="B44" s="4" t="s">
        <v>363</v>
      </c>
      <c r="C44" t="s">
        <v>185</v>
      </c>
      <c r="D44" t="s">
        <v>254</v>
      </c>
      <c r="E44">
        <v>0.42</v>
      </c>
      <c r="F44" t="s">
        <v>312</v>
      </c>
      <c r="G44" t="s">
        <v>364</v>
      </c>
      <c r="H44" s="4" t="s">
        <v>314</v>
      </c>
      <c r="I44" s="4" t="s">
        <v>365</v>
      </c>
    </row>
    <row r="45" spans="1:9" x14ac:dyDescent="0.3">
      <c r="A45" t="s">
        <v>366</v>
      </c>
      <c r="B45" s="4" t="s">
        <v>367</v>
      </c>
      <c r="C45" t="s">
        <v>353</v>
      </c>
      <c r="D45" t="s">
        <v>220</v>
      </c>
      <c r="E45">
        <v>0.42</v>
      </c>
      <c r="F45" t="s">
        <v>263</v>
      </c>
      <c r="G45" t="s">
        <v>368</v>
      </c>
      <c r="H45" s="4" t="s">
        <v>265</v>
      </c>
      <c r="I45" s="4" t="s">
        <v>369</v>
      </c>
    </row>
    <row r="46" spans="1:9" x14ac:dyDescent="0.3">
      <c r="A46" t="s">
        <v>370</v>
      </c>
      <c r="B46" s="4" t="s">
        <v>371</v>
      </c>
      <c r="C46" t="s">
        <v>190</v>
      </c>
      <c r="D46" t="s">
        <v>254</v>
      </c>
      <c r="E46">
        <v>0.42</v>
      </c>
      <c r="F46" t="s">
        <v>372</v>
      </c>
      <c r="G46" t="s">
        <v>361</v>
      </c>
      <c r="H46" s="4" t="s">
        <v>373</v>
      </c>
      <c r="I46" s="4" t="s">
        <v>374</v>
      </c>
    </row>
    <row r="47" spans="1:9" x14ac:dyDescent="0.3">
      <c r="A47" t="s">
        <v>375</v>
      </c>
      <c r="B47" s="4" t="s">
        <v>376</v>
      </c>
      <c r="C47" t="s">
        <v>190</v>
      </c>
      <c r="D47" t="s">
        <v>254</v>
      </c>
      <c r="E47">
        <v>0.42</v>
      </c>
      <c r="F47" t="s">
        <v>372</v>
      </c>
      <c r="G47" t="s">
        <v>361</v>
      </c>
      <c r="H47" s="4" t="s">
        <v>373</v>
      </c>
      <c r="I47" s="4" t="s">
        <v>374</v>
      </c>
    </row>
    <row r="48" spans="1:9" x14ac:dyDescent="0.3">
      <c r="A48" t="s">
        <v>377</v>
      </c>
      <c r="B48" s="4" t="s">
        <v>378</v>
      </c>
      <c r="C48" t="s">
        <v>190</v>
      </c>
      <c r="D48" t="s">
        <v>254</v>
      </c>
      <c r="E48">
        <v>0.42</v>
      </c>
      <c r="F48" t="s">
        <v>372</v>
      </c>
      <c r="G48" t="s">
        <v>361</v>
      </c>
      <c r="H48" s="4" t="s">
        <v>373</v>
      </c>
      <c r="I48" s="4" t="s">
        <v>374</v>
      </c>
    </row>
    <row r="49" spans="1:9" x14ac:dyDescent="0.3">
      <c r="A49" t="s">
        <v>379</v>
      </c>
      <c r="B49" s="4" t="s">
        <v>380</v>
      </c>
      <c r="C49" t="s">
        <v>185</v>
      </c>
      <c r="D49" t="s">
        <v>301</v>
      </c>
      <c r="E49">
        <v>0.42</v>
      </c>
      <c r="F49" t="s">
        <v>381</v>
      </c>
      <c r="G49" t="s">
        <v>364</v>
      </c>
      <c r="H49" s="4" t="s">
        <v>382</v>
      </c>
      <c r="I49" s="4" t="s">
        <v>365</v>
      </c>
    </row>
    <row r="50" spans="1:9" x14ac:dyDescent="0.3">
      <c r="A50" t="s">
        <v>383</v>
      </c>
      <c r="C50" t="s">
        <v>185</v>
      </c>
      <c r="D50" t="s">
        <v>384</v>
      </c>
      <c r="E50">
        <v>75.849999999999994</v>
      </c>
      <c r="F50" t="s">
        <v>296</v>
      </c>
      <c r="G50" t="s">
        <v>385</v>
      </c>
    </row>
    <row r="51" spans="1:9" x14ac:dyDescent="0.3">
      <c r="A51" t="s">
        <v>386</v>
      </c>
      <c r="C51" t="s">
        <v>185</v>
      </c>
      <c r="D51" t="s">
        <v>387</v>
      </c>
      <c r="E51">
        <v>35.57</v>
      </c>
      <c r="F51" t="s">
        <v>296</v>
      </c>
      <c r="G51" t="s">
        <v>388</v>
      </c>
    </row>
    <row r="52" spans="1:9" x14ac:dyDescent="0.3">
      <c r="A52" t="s">
        <v>389</v>
      </c>
      <c r="C52" t="s">
        <v>390</v>
      </c>
      <c r="D52" t="s">
        <v>391</v>
      </c>
      <c r="E52">
        <v>12.82</v>
      </c>
      <c r="F52" t="s">
        <v>296</v>
      </c>
      <c r="G52" t="s">
        <v>392</v>
      </c>
    </row>
    <row r="53" spans="1:9" x14ac:dyDescent="0.3">
      <c r="A53" t="s">
        <v>393</v>
      </c>
      <c r="C53" t="s">
        <v>394</v>
      </c>
      <c r="D53" t="s">
        <v>395</v>
      </c>
      <c r="E53">
        <v>2.96</v>
      </c>
      <c r="F53" t="s">
        <v>296</v>
      </c>
      <c r="G53" t="s">
        <v>396</v>
      </c>
    </row>
    <row r="54" spans="1:9" x14ac:dyDescent="0.3">
      <c r="A54">
        <v>7233</v>
      </c>
      <c r="B54" s="4" t="s">
        <v>397</v>
      </c>
      <c r="C54" t="s">
        <v>185</v>
      </c>
      <c r="D54" t="s">
        <v>195</v>
      </c>
      <c r="E54">
        <v>0.49</v>
      </c>
      <c r="F54" t="s">
        <v>398</v>
      </c>
      <c r="G54" t="s">
        <v>399</v>
      </c>
      <c r="H54" s="4" t="s">
        <v>400</v>
      </c>
      <c r="I54" s="4" t="s">
        <v>401</v>
      </c>
    </row>
    <row r="55" spans="1:9" x14ac:dyDescent="0.3">
      <c r="A55">
        <v>7234</v>
      </c>
      <c r="B55" s="4" t="s">
        <v>402</v>
      </c>
      <c r="C55" t="s">
        <v>185</v>
      </c>
      <c r="D55" t="s">
        <v>190</v>
      </c>
      <c r="E55">
        <v>0.49</v>
      </c>
      <c r="F55" t="s">
        <v>296</v>
      </c>
      <c r="G55" t="s">
        <v>290</v>
      </c>
      <c r="H55" s="4" t="s">
        <v>298</v>
      </c>
      <c r="I55" s="4" t="s">
        <v>291</v>
      </c>
    </row>
    <row r="56" spans="1:9" x14ac:dyDescent="0.3">
      <c r="A56">
        <v>7235</v>
      </c>
      <c r="B56" s="4" t="s">
        <v>403</v>
      </c>
      <c r="C56" t="s">
        <v>185</v>
      </c>
      <c r="D56" t="s">
        <v>190</v>
      </c>
      <c r="E56">
        <v>0.49</v>
      </c>
      <c r="F56" t="s">
        <v>404</v>
      </c>
      <c r="G56" t="s">
        <v>398</v>
      </c>
      <c r="H56" s="4" t="s">
        <v>405</v>
      </c>
      <c r="I56" s="4" t="s">
        <v>400</v>
      </c>
    </row>
    <row r="57" spans="1:9" x14ac:dyDescent="0.3">
      <c r="A57">
        <v>7236</v>
      </c>
      <c r="B57" s="4" t="s">
        <v>406</v>
      </c>
      <c r="C57" t="s">
        <v>185</v>
      </c>
      <c r="D57" t="s">
        <v>190</v>
      </c>
      <c r="E57">
        <v>0.49</v>
      </c>
      <c r="F57" t="s">
        <v>407</v>
      </c>
      <c r="G57" t="s">
        <v>404</v>
      </c>
      <c r="H57" s="4" t="s">
        <v>408</v>
      </c>
      <c r="I57" s="4" t="s">
        <v>405</v>
      </c>
    </row>
    <row r="58" spans="1:9" x14ac:dyDescent="0.3">
      <c r="A58">
        <v>7237</v>
      </c>
      <c r="B58" s="4" t="s">
        <v>409</v>
      </c>
      <c r="C58" t="s">
        <v>185</v>
      </c>
      <c r="D58" t="s">
        <v>190</v>
      </c>
      <c r="E58">
        <v>0.49</v>
      </c>
      <c r="F58" t="s">
        <v>410</v>
      </c>
      <c r="G58" t="s">
        <v>407</v>
      </c>
      <c r="H58" s="4" t="s">
        <v>411</v>
      </c>
      <c r="I58" s="4" t="s">
        <v>408</v>
      </c>
    </row>
    <row r="59" spans="1:9" x14ac:dyDescent="0.3">
      <c r="A59">
        <v>7452</v>
      </c>
      <c r="B59" s="4" t="s">
        <v>412</v>
      </c>
      <c r="C59" t="s">
        <v>394</v>
      </c>
      <c r="D59" t="s">
        <v>301</v>
      </c>
      <c r="E59">
        <v>0.49</v>
      </c>
      <c r="F59" t="s">
        <v>192</v>
      </c>
      <c r="G59" t="s">
        <v>396</v>
      </c>
      <c r="H59" s="4" t="s">
        <v>218</v>
      </c>
      <c r="I59" s="4" t="s">
        <v>413</v>
      </c>
    </row>
    <row r="60" spans="1:9" x14ac:dyDescent="0.3">
      <c r="A60" t="s">
        <v>414</v>
      </c>
      <c r="C60" t="s">
        <v>415</v>
      </c>
      <c r="D60" t="s">
        <v>416</v>
      </c>
      <c r="E60">
        <v>1.48</v>
      </c>
      <c r="F60" t="s">
        <v>417</v>
      </c>
      <c r="G60" t="s">
        <v>192</v>
      </c>
    </row>
    <row r="61" spans="1:9" x14ac:dyDescent="0.3">
      <c r="A61">
        <v>7377</v>
      </c>
      <c r="B61" s="4" t="s">
        <v>418</v>
      </c>
      <c r="C61" t="s">
        <v>419</v>
      </c>
      <c r="D61" t="s">
        <v>195</v>
      </c>
      <c r="E61">
        <v>0.49</v>
      </c>
      <c r="F61" t="s">
        <v>404</v>
      </c>
      <c r="G61" t="s">
        <v>420</v>
      </c>
      <c r="H61" s="4" t="s">
        <v>405</v>
      </c>
      <c r="I61" s="4" t="s">
        <v>421</v>
      </c>
    </row>
    <row r="62" spans="1:9" x14ac:dyDescent="0.3">
      <c r="A62">
        <v>7405</v>
      </c>
      <c r="B62" s="4" t="s">
        <v>422</v>
      </c>
      <c r="C62" t="s">
        <v>423</v>
      </c>
      <c r="D62" t="s">
        <v>206</v>
      </c>
      <c r="E62">
        <v>0.49</v>
      </c>
      <c r="F62" t="s">
        <v>417</v>
      </c>
      <c r="G62" t="s">
        <v>246</v>
      </c>
      <c r="H62" s="4" t="s">
        <v>424</v>
      </c>
      <c r="I62" s="4" t="s">
        <v>247</v>
      </c>
    </row>
    <row r="63" spans="1:9" x14ac:dyDescent="0.3">
      <c r="A63">
        <v>7429</v>
      </c>
      <c r="B63" s="4" t="s">
        <v>425</v>
      </c>
      <c r="C63" t="s">
        <v>415</v>
      </c>
      <c r="D63" t="s">
        <v>190</v>
      </c>
      <c r="E63">
        <v>0.49</v>
      </c>
      <c r="F63" t="s">
        <v>398</v>
      </c>
      <c r="G63" t="s">
        <v>192</v>
      </c>
      <c r="H63" s="4" t="s">
        <v>400</v>
      </c>
      <c r="I63" s="4" t="s">
        <v>218</v>
      </c>
    </row>
    <row r="64" spans="1:9" x14ac:dyDescent="0.3">
      <c r="A64" t="s">
        <v>426</v>
      </c>
      <c r="C64" t="s">
        <v>427</v>
      </c>
      <c r="D64" t="s">
        <v>225</v>
      </c>
      <c r="E64">
        <v>2.4700000000000002</v>
      </c>
      <c r="F64" t="s">
        <v>290</v>
      </c>
      <c r="G64" t="s">
        <v>428</v>
      </c>
    </row>
    <row r="65" spans="1:9" x14ac:dyDescent="0.3">
      <c r="A65">
        <v>7229</v>
      </c>
      <c r="B65" s="4" t="s">
        <v>429</v>
      </c>
      <c r="C65" t="s">
        <v>190</v>
      </c>
      <c r="D65" t="s">
        <v>190</v>
      </c>
      <c r="E65">
        <v>0.49</v>
      </c>
      <c r="F65" t="s">
        <v>354</v>
      </c>
      <c r="G65" t="s">
        <v>430</v>
      </c>
      <c r="H65" s="4" t="s">
        <v>355</v>
      </c>
      <c r="I65" s="4" t="s">
        <v>431</v>
      </c>
    </row>
    <row r="66" spans="1:9" x14ac:dyDescent="0.3">
      <c r="A66">
        <v>7230</v>
      </c>
      <c r="B66" s="4" t="s">
        <v>432</v>
      </c>
      <c r="C66" t="s">
        <v>185</v>
      </c>
      <c r="D66" t="s">
        <v>195</v>
      </c>
      <c r="E66">
        <v>0.49</v>
      </c>
      <c r="F66" t="s">
        <v>290</v>
      </c>
      <c r="G66" t="s">
        <v>433</v>
      </c>
      <c r="H66" s="4" t="s">
        <v>291</v>
      </c>
      <c r="I66" s="4" t="s">
        <v>434</v>
      </c>
    </row>
    <row r="67" spans="1:9" x14ac:dyDescent="0.3">
      <c r="A67">
        <v>7231</v>
      </c>
      <c r="B67" s="4" t="s">
        <v>435</v>
      </c>
      <c r="C67" t="s">
        <v>185</v>
      </c>
      <c r="D67" t="s">
        <v>195</v>
      </c>
      <c r="E67">
        <v>0.49</v>
      </c>
      <c r="F67" t="s">
        <v>332</v>
      </c>
      <c r="G67" t="s">
        <v>354</v>
      </c>
      <c r="H67" s="4" t="s">
        <v>333</v>
      </c>
      <c r="I67" s="4" t="s">
        <v>355</v>
      </c>
    </row>
    <row r="68" spans="1:9" x14ac:dyDescent="0.3">
      <c r="A68">
        <v>7232</v>
      </c>
      <c r="B68" s="4" t="s">
        <v>436</v>
      </c>
      <c r="C68" t="s">
        <v>185</v>
      </c>
      <c r="D68" t="s">
        <v>190</v>
      </c>
      <c r="E68">
        <v>0.49</v>
      </c>
      <c r="F68" t="s">
        <v>192</v>
      </c>
      <c r="G68" t="s">
        <v>332</v>
      </c>
      <c r="H68" s="4" t="s">
        <v>218</v>
      </c>
      <c r="I68" s="4" t="s">
        <v>333</v>
      </c>
    </row>
    <row r="69" spans="1:9" x14ac:dyDescent="0.3">
      <c r="A69">
        <v>7453</v>
      </c>
      <c r="B69" s="4" t="s">
        <v>437</v>
      </c>
      <c r="C69" t="s">
        <v>427</v>
      </c>
      <c r="D69" t="s">
        <v>438</v>
      </c>
      <c r="E69">
        <v>0.49</v>
      </c>
      <c r="F69" t="s">
        <v>430</v>
      </c>
      <c r="G69" t="s">
        <v>428</v>
      </c>
      <c r="H69" s="4" t="s">
        <v>431</v>
      </c>
      <c r="I69" s="4" t="s">
        <v>439</v>
      </c>
    </row>
    <row r="70" spans="1:9" x14ac:dyDescent="0.3">
      <c r="A70" t="s">
        <v>440</v>
      </c>
      <c r="C70" t="s">
        <v>185</v>
      </c>
      <c r="D70" t="s">
        <v>441</v>
      </c>
      <c r="E70">
        <v>2.96</v>
      </c>
      <c r="F70" t="s">
        <v>433</v>
      </c>
      <c r="G70" t="s">
        <v>410</v>
      </c>
    </row>
    <row r="71" spans="1:9" x14ac:dyDescent="0.3">
      <c r="A71">
        <v>7238</v>
      </c>
      <c r="B71" s="4" t="s">
        <v>442</v>
      </c>
      <c r="C71" t="s">
        <v>185</v>
      </c>
      <c r="D71" t="s">
        <v>359</v>
      </c>
      <c r="E71">
        <v>0.49</v>
      </c>
      <c r="F71" t="s">
        <v>255</v>
      </c>
      <c r="G71" t="s">
        <v>410</v>
      </c>
      <c r="H71" s="4" t="s">
        <v>257</v>
      </c>
      <c r="I71" s="4" t="s">
        <v>411</v>
      </c>
    </row>
    <row r="72" spans="1:9" x14ac:dyDescent="0.3">
      <c r="A72">
        <v>7239</v>
      </c>
      <c r="B72" s="4" t="s">
        <v>443</v>
      </c>
      <c r="C72" t="s">
        <v>185</v>
      </c>
      <c r="D72" t="s">
        <v>190</v>
      </c>
      <c r="E72">
        <v>0.49</v>
      </c>
      <c r="F72" t="s">
        <v>241</v>
      </c>
      <c r="G72" t="s">
        <v>250</v>
      </c>
      <c r="H72" s="4" t="s">
        <v>243</v>
      </c>
      <c r="I72" s="4" t="s">
        <v>251</v>
      </c>
    </row>
    <row r="73" spans="1:9" x14ac:dyDescent="0.3">
      <c r="A73">
        <v>7240</v>
      </c>
      <c r="B73" s="4" t="s">
        <v>444</v>
      </c>
      <c r="C73" t="s">
        <v>185</v>
      </c>
      <c r="D73" t="s">
        <v>301</v>
      </c>
      <c r="E73">
        <v>0.49</v>
      </c>
      <c r="F73" t="s">
        <v>417</v>
      </c>
      <c r="G73" t="s">
        <v>241</v>
      </c>
      <c r="H73" s="4" t="s">
        <v>424</v>
      </c>
      <c r="I73" s="4" t="s">
        <v>243</v>
      </c>
    </row>
    <row r="74" spans="1:9" x14ac:dyDescent="0.3">
      <c r="A74">
        <v>7241</v>
      </c>
      <c r="B74" s="4" t="s">
        <v>445</v>
      </c>
      <c r="C74" t="s">
        <v>185</v>
      </c>
      <c r="D74" t="s">
        <v>301</v>
      </c>
      <c r="E74">
        <v>0.49</v>
      </c>
      <c r="F74" t="s">
        <v>446</v>
      </c>
      <c r="G74" t="s">
        <v>417</v>
      </c>
      <c r="H74" s="4" t="s">
        <v>447</v>
      </c>
      <c r="I74" s="4" t="s">
        <v>424</v>
      </c>
    </row>
    <row r="75" spans="1:9" x14ac:dyDescent="0.3">
      <c r="A75">
        <v>7242</v>
      </c>
      <c r="B75" s="4" t="s">
        <v>448</v>
      </c>
      <c r="C75" t="s">
        <v>185</v>
      </c>
      <c r="D75" t="s">
        <v>195</v>
      </c>
      <c r="E75">
        <v>0.49</v>
      </c>
      <c r="F75" t="s">
        <v>303</v>
      </c>
      <c r="G75" t="s">
        <v>446</v>
      </c>
      <c r="H75" s="4" t="s">
        <v>305</v>
      </c>
      <c r="I75" s="4" t="s">
        <v>447</v>
      </c>
    </row>
    <row r="76" spans="1:9" x14ac:dyDescent="0.3">
      <c r="A76">
        <v>7243</v>
      </c>
      <c r="B76" s="4" t="s">
        <v>449</v>
      </c>
      <c r="C76" t="s">
        <v>185</v>
      </c>
      <c r="D76" t="s">
        <v>190</v>
      </c>
      <c r="E76">
        <v>0.49</v>
      </c>
      <c r="F76" t="s">
        <v>433</v>
      </c>
      <c r="G76" t="s">
        <v>303</v>
      </c>
      <c r="H76" s="4" t="s">
        <v>434</v>
      </c>
      <c r="I76" s="4" t="s">
        <v>305</v>
      </c>
    </row>
    <row r="77" spans="1:9" x14ac:dyDescent="0.3">
      <c r="A77" t="s">
        <v>450</v>
      </c>
      <c r="C77" t="s">
        <v>390</v>
      </c>
      <c r="D77" t="s">
        <v>294</v>
      </c>
      <c r="E77">
        <v>2.96</v>
      </c>
      <c r="F77" t="s">
        <v>354</v>
      </c>
      <c r="G77" t="s">
        <v>392</v>
      </c>
    </row>
    <row r="78" spans="1:9" x14ac:dyDescent="0.3">
      <c r="A78">
        <v>7244</v>
      </c>
      <c r="B78" s="4" t="s">
        <v>451</v>
      </c>
      <c r="C78" t="s">
        <v>185</v>
      </c>
      <c r="D78" t="s">
        <v>190</v>
      </c>
      <c r="E78">
        <v>0.49</v>
      </c>
      <c r="F78" t="s">
        <v>326</v>
      </c>
      <c r="G78" t="s">
        <v>428</v>
      </c>
      <c r="H78" s="4" t="s">
        <v>334</v>
      </c>
      <c r="I78" s="4" t="s">
        <v>439</v>
      </c>
    </row>
    <row r="79" spans="1:9" x14ac:dyDescent="0.3">
      <c r="A79">
        <v>7245</v>
      </c>
      <c r="B79" s="4" t="s">
        <v>452</v>
      </c>
      <c r="C79" t="s">
        <v>185</v>
      </c>
      <c r="D79" t="s">
        <v>190</v>
      </c>
      <c r="E79">
        <v>0.49</v>
      </c>
      <c r="F79" t="s">
        <v>326</v>
      </c>
      <c r="G79" t="s">
        <v>428</v>
      </c>
      <c r="H79" s="4" t="s">
        <v>334</v>
      </c>
      <c r="I79" s="4" t="s">
        <v>439</v>
      </c>
    </row>
    <row r="80" spans="1:9" x14ac:dyDescent="0.3">
      <c r="A80">
        <v>7246</v>
      </c>
      <c r="B80" s="4" t="s">
        <v>453</v>
      </c>
      <c r="C80" t="s">
        <v>185</v>
      </c>
      <c r="D80" t="s">
        <v>438</v>
      </c>
      <c r="E80">
        <v>0.49</v>
      </c>
      <c r="F80" t="s">
        <v>354</v>
      </c>
      <c r="G80" t="s">
        <v>326</v>
      </c>
      <c r="H80" s="4" t="s">
        <v>355</v>
      </c>
      <c r="I80" s="4" t="s">
        <v>334</v>
      </c>
    </row>
    <row r="81" spans="1:9" x14ac:dyDescent="0.3">
      <c r="A81">
        <v>7299</v>
      </c>
      <c r="B81" s="4" t="s">
        <v>454</v>
      </c>
      <c r="C81" t="s">
        <v>185</v>
      </c>
      <c r="D81" t="s">
        <v>195</v>
      </c>
      <c r="E81">
        <v>0.49</v>
      </c>
      <c r="F81" t="s">
        <v>455</v>
      </c>
      <c r="G81" t="s">
        <v>392</v>
      </c>
      <c r="H81" s="4" t="s">
        <v>456</v>
      </c>
      <c r="I81" s="4" t="s">
        <v>457</v>
      </c>
    </row>
    <row r="82" spans="1:9" x14ac:dyDescent="0.3">
      <c r="A82">
        <v>7300</v>
      </c>
      <c r="B82" s="4" t="s">
        <v>458</v>
      </c>
      <c r="C82" t="s">
        <v>185</v>
      </c>
      <c r="D82" t="s">
        <v>195</v>
      </c>
      <c r="E82">
        <v>0.49</v>
      </c>
      <c r="F82" t="s">
        <v>455</v>
      </c>
      <c r="G82" t="s">
        <v>392</v>
      </c>
      <c r="H82" s="4" t="s">
        <v>456</v>
      </c>
      <c r="I82" s="4" t="s">
        <v>457</v>
      </c>
    </row>
    <row r="83" spans="1:9" x14ac:dyDescent="0.3">
      <c r="A83">
        <v>7301</v>
      </c>
      <c r="B83" s="4" t="s">
        <v>459</v>
      </c>
      <c r="C83" t="s">
        <v>185</v>
      </c>
      <c r="D83" t="s">
        <v>195</v>
      </c>
      <c r="E83">
        <v>0.49</v>
      </c>
      <c r="F83" t="s">
        <v>428</v>
      </c>
      <c r="G83" t="s">
        <v>455</v>
      </c>
      <c r="H83" s="4" t="s">
        <v>439</v>
      </c>
      <c r="I83" s="4" t="s">
        <v>456</v>
      </c>
    </row>
    <row r="84" spans="1:9" x14ac:dyDescent="0.3">
      <c r="A84">
        <v>7311</v>
      </c>
      <c r="B84" s="4" t="s">
        <v>460</v>
      </c>
      <c r="C84" t="s">
        <v>390</v>
      </c>
      <c r="D84" t="s">
        <v>185</v>
      </c>
      <c r="E84">
        <v>0</v>
      </c>
      <c r="G84" t="s">
        <v>392</v>
      </c>
      <c r="I84" s="4" t="s">
        <v>457</v>
      </c>
    </row>
    <row r="85" spans="1:9" x14ac:dyDescent="0.3">
      <c r="A85" t="s">
        <v>461</v>
      </c>
      <c r="C85" t="s">
        <v>190</v>
      </c>
      <c r="D85" t="s">
        <v>462</v>
      </c>
      <c r="E85">
        <v>15.14</v>
      </c>
      <c r="F85" t="s">
        <v>290</v>
      </c>
      <c r="G85" t="s">
        <v>463</v>
      </c>
    </row>
    <row r="86" spans="1:9" x14ac:dyDescent="0.3">
      <c r="A86" t="s">
        <v>464</v>
      </c>
      <c r="B86" s="4" t="s">
        <v>465</v>
      </c>
      <c r="C86" t="s">
        <v>427</v>
      </c>
      <c r="D86" t="s">
        <v>466</v>
      </c>
      <c r="E86">
        <v>0.56000000000000005</v>
      </c>
      <c r="F86" t="s">
        <v>430</v>
      </c>
      <c r="G86" t="s">
        <v>467</v>
      </c>
      <c r="H86" s="4" t="s">
        <v>431</v>
      </c>
      <c r="I86" s="4" t="s">
        <v>468</v>
      </c>
    </row>
    <row r="87" spans="1:9" x14ac:dyDescent="0.3">
      <c r="A87" t="s">
        <v>469</v>
      </c>
      <c r="B87" s="4" t="s">
        <v>470</v>
      </c>
      <c r="C87" t="s">
        <v>471</v>
      </c>
      <c r="D87" t="s">
        <v>279</v>
      </c>
      <c r="E87">
        <v>0.56000000000000005</v>
      </c>
      <c r="F87" t="s">
        <v>433</v>
      </c>
      <c r="G87" t="s">
        <v>312</v>
      </c>
      <c r="H87" s="4" t="s">
        <v>434</v>
      </c>
      <c r="I87" s="4" t="s">
        <v>314</v>
      </c>
    </row>
    <row r="88" spans="1:9" x14ac:dyDescent="0.3">
      <c r="A88" t="s">
        <v>472</v>
      </c>
      <c r="B88" s="4" t="s">
        <v>473</v>
      </c>
      <c r="C88" t="s">
        <v>474</v>
      </c>
      <c r="D88" t="s">
        <v>475</v>
      </c>
      <c r="E88">
        <v>0.56000000000000005</v>
      </c>
      <c r="F88" t="s">
        <v>354</v>
      </c>
      <c r="G88" t="s">
        <v>476</v>
      </c>
      <c r="H88" s="4" t="s">
        <v>355</v>
      </c>
      <c r="I88" s="4" t="s">
        <v>162</v>
      </c>
    </row>
    <row r="89" spans="1:9" x14ac:dyDescent="0.3">
      <c r="A89" t="s">
        <v>477</v>
      </c>
      <c r="B89" s="4" t="s">
        <v>478</v>
      </c>
      <c r="C89" t="s">
        <v>225</v>
      </c>
      <c r="D89" t="s">
        <v>479</v>
      </c>
      <c r="E89">
        <v>0.56000000000000005</v>
      </c>
      <c r="F89" t="s">
        <v>332</v>
      </c>
      <c r="G89" t="s">
        <v>480</v>
      </c>
      <c r="H89" s="4" t="s">
        <v>333</v>
      </c>
      <c r="I89" s="4" t="s">
        <v>481</v>
      </c>
    </row>
    <row r="90" spans="1:9" x14ac:dyDescent="0.3">
      <c r="A90" t="s">
        <v>482</v>
      </c>
      <c r="B90" s="4" t="s">
        <v>483</v>
      </c>
      <c r="C90" t="s">
        <v>394</v>
      </c>
      <c r="D90" t="s">
        <v>484</v>
      </c>
      <c r="E90">
        <v>0.56000000000000005</v>
      </c>
      <c r="F90" t="s">
        <v>192</v>
      </c>
      <c r="G90" t="s">
        <v>485</v>
      </c>
      <c r="H90" s="4" t="s">
        <v>218</v>
      </c>
      <c r="I90" s="4" t="s">
        <v>486</v>
      </c>
    </row>
    <row r="91" spans="1:9" x14ac:dyDescent="0.3">
      <c r="A91" t="s">
        <v>487</v>
      </c>
      <c r="B91" s="4" t="s">
        <v>488</v>
      </c>
      <c r="C91" t="s">
        <v>489</v>
      </c>
      <c r="D91" t="s">
        <v>490</v>
      </c>
      <c r="E91">
        <v>0.49</v>
      </c>
      <c r="F91" t="s">
        <v>290</v>
      </c>
      <c r="G91" t="s">
        <v>364</v>
      </c>
      <c r="H91" s="4" t="s">
        <v>291</v>
      </c>
      <c r="I91" s="4" t="s">
        <v>365</v>
      </c>
    </row>
    <row r="92" spans="1:9" x14ac:dyDescent="0.3">
      <c r="A92" t="s">
        <v>491</v>
      </c>
      <c r="B92" s="4" t="s">
        <v>492</v>
      </c>
      <c r="C92" t="s">
        <v>394</v>
      </c>
      <c r="D92" t="s">
        <v>466</v>
      </c>
      <c r="E92">
        <v>0.56000000000000005</v>
      </c>
      <c r="F92" t="s">
        <v>398</v>
      </c>
      <c r="G92" t="s">
        <v>485</v>
      </c>
      <c r="H92" s="4" t="s">
        <v>400</v>
      </c>
      <c r="I92" s="4" t="s">
        <v>486</v>
      </c>
    </row>
    <row r="93" spans="1:9" x14ac:dyDescent="0.3">
      <c r="A93" t="s">
        <v>493</v>
      </c>
      <c r="B93" s="4" t="s">
        <v>494</v>
      </c>
      <c r="C93" t="s">
        <v>419</v>
      </c>
      <c r="D93" t="s">
        <v>475</v>
      </c>
      <c r="E93">
        <v>0.56000000000000005</v>
      </c>
      <c r="F93" t="s">
        <v>404</v>
      </c>
      <c r="G93" t="s">
        <v>392</v>
      </c>
      <c r="H93" s="4" t="s">
        <v>405</v>
      </c>
      <c r="I93" s="4" t="s">
        <v>457</v>
      </c>
    </row>
    <row r="94" spans="1:9" x14ac:dyDescent="0.3">
      <c r="A94" t="s">
        <v>495</v>
      </c>
      <c r="B94" s="4" t="s">
        <v>496</v>
      </c>
      <c r="C94" t="s">
        <v>390</v>
      </c>
      <c r="D94" t="s">
        <v>279</v>
      </c>
      <c r="E94">
        <v>0.56000000000000005</v>
      </c>
      <c r="F94" t="s">
        <v>407</v>
      </c>
      <c r="G94" t="s">
        <v>428</v>
      </c>
      <c r="H94" s="4" t="s">
        <v>408</v>
      </c>
      <c r="I94" s="4" t="s">
        <v>439</v>
      </c>
    </row>
    <row r="95" spans="1:9" x14ac:dyDescent="0.3">
      <c r="A95" t="s">
        <v>497</v>
      </c>
      <c r="B95" s="4" t="s">
        <v>498</v>
      </c>
      <c r="C95" t="s">
        <v>499</v>
      </c>
      <c r="D95" t="s">
        <v>500</v>
      </c>
      <c r="E95">
        <v>0.56000000000000005</v>
      </c>
      <c r="F95" t="s">
        <v>410</v>
      </c>
      <c r="G95" t="s">
        <v>501</v>
      </c>
      <c r="H95" s="4" t="s">
        <v>411</v>
      </c>
      <c r="I95" s="4" t="s">
        <v>502</v>
      </c>
    </row>
    <row r="96" spans="1:9" x14ac:dyDescent="0.3">
      <c r="A96" t="s">
        <v>503</v>
      </c>
      <c r="B96" s="4" t="s">
        <v>504</v>
      </c>
      <c r="C96" t="s">
        <v>390</v>
      </c>
      <c r="D96" t="s">
        <v>505</v>
      </c>
      <c r="E96">
        <v>0.56000000000000005</v>
      </c>
      <c r="F96" t="s">
        <v>255</v>
      </c>
      <c r="G96" t="s">
        <v>428</v>
      </c>
      <c r="H96" s="4" t="s">
        <v>257</v>
      </c>
      <c r="I96" s="4" t="s">
        <v>439</v>
      </c>
    </row>
    <row r="97" spans="1:9" x14ac:dyDescent="0.3">
      <c r="A97" t="s">
        <v>506</v>
      </c>
      <c r="B97" s="4" t="s">
        <v>507</v>
      </c>
      <c r="C97" t="s">
        <v>390</v>
      </c>
      <c r="D97" t="s">
        <v>508</v>
      </c>
      <c r="E97">
        <v>0.56000000000000005</v>
      </c>
      <c r="F97" t="s">
        <v>241</v>
      </c>
      <c r="G97" t="s">
        <v>428</v>
      </c>
      <c r="H97" s="4" t="s">
        <v>243</v>
      </c>
      <c r="I97" s="4" t="s">
        <v>439</v>
      </c>
    </row>
    <row r="98" spans="1:9" x14ac:dyDescent="0.3">
      <c r="A98" t="s">
        <v>509</v>
      </c>
      <c r="B98" s="4" t="s">
        <v>510</v>
      </c>
      <c r="C98" t="s">
        <v>511</v>
      </c>
      <c r="D98" t="s">
        <v>490</v>
      </c>
      <c r="E98">
        <v>0.56000000000000005</v>
      </c>
      <c r="F98" t="s">
        <v>417</v>
      </c>
      <c r="G98" t="s">
        <v>396</v>
      </c>
      <c r="H98" s="4" t="s">
        <v>424</v>
      </c>
      <c r="I98" s="4" t="s">
        <v>413</v>
      </c>
    </row>
    <row r="99" spans="1:9" x14ac:dyDescent="0.3">
      <c r="A99" t="s">
        <v>512</v>
      </c>
      <c r="B99" s="4" t="s">
        <v>513</v>
      </c>
      <c r="C99" t="s">
        <v>514</v>
      </c>
      <c r="D99" t="s">
        <v>505</v>
      </c>
      <c r="E99">
        <v>0.56000000000000005</v>
      </c>
      <c r="F99" t="s">
        <v>446</v>
      </c>
      <c r="G99" t="s">
        <v>332</v>
      </c>
      <c r="H99" s="4" t="s">
        <v>447</v>
      </c>
      <c r="I99" s="4" t="s">
        <v>333</v>
      </c>
    </row>
    <row r="100" spans="1:9" x14ac:dyDescent="0.3">
      <c r="A100" t="s">
        <v>515</v>
      </c>
      <c r="B100" s="4" t="s">
        <v>516</v>
      </c>
      <c r="C100" t="s">
        <v>517</v>
      </c>
      <c r="D100" t="s">
        <v>490</v>
      </c>
      <c r="E100">
        <v>0.56000000000000005</v>
      </c>
      <c r="F100" t="s">
        <v>303</v>
      </c>
      <c r="G100" t="s">
        <v>420</v>
      </c>
      <c r="H100" s="4" t="s">
        <v>305</v>
      </c>
      <c r="I100" s="4" t="s">
        <v>421</v>
      </c>
    </row>
    <row r="101" spans="1:9" x14ac:dyDescent="0.3">
      <c r="A101" t="s">
        <v>518</v>
      </c>
      <c r="B101" s="4" t="s">
        <v>519</v>
      </c>
      <c r="C101" t="s">
        <v>520</v>
      </c>
      <c r="D101" t="s">
        <v>321</v>
      </c>
      <c r="E101">
        <v>0.56000000000000005</v>
      </c>
      <c r="F101" t="s">
        <v>428</v>
      </c>
      <c r="G101" t="s">
        <v>521</v>
      </c>
      <c r="H101" s="4" t="s">
        <v>439</v>
      </c>
      <c r="I101" s="4" t="s">
        <v>522</v>
      </c>
    </row>
    <row r="102" spans="1:9" x14ac:dyDescent="0.3">
      <c r="A102" t="s">
        <v>523</v>
      </c>
      <c r="B102" s="4" t="s">
        <v>524</v>
      </c>
      <c r="C102" t="s">
        <v>525</v>
      </c>
      <c r="D102" t="s">
        <v>475</v>
      </c>
      <c r="E102">
        <v>0.56000000000000005</v>
      </c>
      <c r="F102" t="s">
        <v>428</v>
      </c>
      <c r="G102" t="s">
        <v>526</v>
      </c>
      <c r="H102" s="4" t="s">
        <v>439</v>
      </c>
      <c r="I102" s="4" t="s">
        <v>527</v>
      </c>
    </row>
    <row r="103" spans="1:9" x14ac:dyDescent="0.3">
      <c r="A103" t="s">
        <v>528</v>
      </c>
      <c r="B103" s="4" t="s">
        <v>529</v>
      </c>
      <c r="C103" t="s">
        <v>525</v>
      </c>
      <c r="D103" t="s">
        <v>466</v>
      </c>
      <c r="E103">
        <v>0.56000000000000005</v>
      </c>
      <c r="F103" t="s">
        <v>326</v>
      </c>
      <c r="G103" t="s">
        <v>526</v>
      </c>
      <c r="H103" s="4" t="s">
        <v>334</v>
      </c>
      <c r="I103" s="4" t="s">
        <v>527</v>
      </c>
    </row>
    <row r="104" spans="1:9" x14ac:dyDescent="0.3">
      <c r="A104" t="s">
        <v>532</v>
      </c>
      <c r="B104" s="4" t="s">
        <v>533</v>
      </c>
      <c r="C104" t="s">
        <v>534</v>
      </c>
      <c r="D104" t="s">
        <v>279</v>
      </c>
      <c r="E104">
        <v>0.56000000000000005</v>
      </c>
      <c r="F104" t="s">
        <v>392</v>
      </c>
      <c r="G104" t="s">
        <v>535</v>
      </c>
      <c r="H104" s="4" t="s">
        <v>457</v>
      </c>
      <c r="I104" s="4" t="s">
        <v>536</v>
      </c>
    </row>
    <row r="105" spans="1:9" x14ac:dyDescent="0.3">
      <c r="A105" t="s">
        <v>537</v>
      </c>
      <c r="B105" s="4" t="s">
        <v>538</v>
      </c>
      <c r="C105" t="s">
        <v>539</v>
      </c>
      <c r="D105" t="s">
        <v>540</v>
      </c>
      <c r="E105">
        <v>0.56000000000000005</v>
      </c>
      <c r="F105" t="s">
        <v>392</v>
      </c>
      <c r="G105" t="s">
        <v>535</v>
      </c>
      <c r="H105" s="4" t="s">
        <v>457</v>
      </c>
      <c r="I105" s="4" t="s">
        <v>536</v>
      </c>
    </row>
    <row r="106" spans="1:9" x14ac:dyDescent="0.3">
      <c r="A106" t="s">
        <v>541</v>
      </c>
      <c r="B106" s="4" t="s">
        <v>542</v>
      </c>
      <c r="C106" t="s">
        <v>525</v>
      </c>
      <c r="D106" t="s">
        <v>540</v>
      </c>
      <c r="E106">
        <v>0.56000000000000005</v>
      </c>
      <c r="F106" t="s">
        <v>455</v>
      </c>
      <c r="G106" t="s">
        <v>526</v>
      </c>
      <c r="H106" s="4" t="s">
        <v>456</v>
      </c>
      <c r="I106" s="4" t="s">
        <v>527</v>
      </c>
    </row>
    <row r="107" spans="1:9" x14ac:dyDescent="0.3">
      <c r="A107" t="s">
        <v>543</v>
      </c>
      <c r="B107" s="4" t="s">
        <v>544</v>
      </c>
      <c r="C107" t="s">
        <v>419</v>
      </c>
      <c r="D107" t="s">
        <v>540</v>
      </c>
      <c r="E107">
        <v>0.56000000000000005</v>
      </c>
      <c r="F107" t="s">
        <v>420</v>
      </c>
      <c r="G107" t="s">
        <v>392</v>
      </c>
      <c r="H107" s="4" t="s">
        <v>421</v>
      </c>
      <c r="I107" s="4" t="s">
        <v>457</v>
      </c>
    </row>
    <row r="108" spans="1:9" x14ac:dyDescent="0.3">
      <c r="A108" t="s">
        <v>545</v>
      </c>
      <c r="B108" s="4" t="s">
        <v>546</v>
      </c>
      <c r="C108" t="s">
        <v>423</v>
      </c>
      <c r="D108" t="s">
        <v>520</v>
      </c>
      <c r="E108">
        <v>0.56000000000000005</v>
      </c>
      <c r="F108" t="s">
        <v>246</v>
      </c>
      <c r="G108" t="s">
        <v>501</v>
      </c>
      <c r="H108" s="4" t="s">
        <v>247</v>
      </c>
      <c r="I108" s="4" t="s">
        <v>502</v>
      </c>
    </row>
    <row r="109" spans="1:9" x14ac:dyDescent="0.3">
      <c r="A109" t="s">
        <v>547</v>
      </c>
      <c r="B109" s="4" t="s">
        <v>548</v>
      </c>
      <c r="C109" t="s">
        <v>415</v>
      </c>
      <c r="D109" t="s">
        <v>479</v>
      </c>
      <c r="E109">
        <v>0.56000000000000005</v>
      </c>
      <c r="F109" t="s">
        <v>192</v>
      </c>
      <c r="G109" t="s">
        <v>549</v>
      </c>
      <c r="H109" s="4" t="s">
        <v>218</v>
      </c>
      <c r="I109" s="4" t="s">
        <v>550</v>
      </c>
    </row>
    <row r="110" spans="1:9" x14ac:dyDescent="0.3">
      <c r="A110" t="s">
        <v>906</v>
      </c>
      <c r="B110" s="4" t="s">
        <v>530</v>
      </c>
      <c r="C110" t="s">
        <v>394</v>
      </c>
      <c r="D110" t="s">
        <v>479</v>
      </c>
      <c r="E110">
        <v>0.56000000000000005</v>
      </c>
      <c r="F110" t="s">
        <v>396</v>
      </c>
      <c r="G110" t="s">
        <v>485</v>
      </c>
      <c r="H110" s="4" t="s">
        <v>413</v>
      </c>
      <c r="I110" s="4" t="s">
        <v>486</v>
      </c>
    </row>
    <row r="111" spans="1:9" x14ac:dyDescent="0.3">
      <c r="A111" t="s">
        <v>907</v>
      </c>
      <c r="B111" s="4" t="s">
        <v>531</v>
      </c>
      <c r="C111" t="s">
        <v>427</v>
      </c>
      <c r="D111" t="s">
        <v>479</v>
      </c>
      <c r="E111">
        <v>0.56000000000000005</v>
      </c>
      <c r="F111" t="s">
        <v>428</v>
      </c>
      <c r="G111" t="s">
        <v>467</v>
      </c>
      <c r="H111" s="4" t="s">
        <v>439</v>
      </c>
      <c r="I111" s="4" t="s">
        <v>468</v>
      </c>
    </row>
    <row r="112" spans="1:9" x14ac:dyDescent="0.3">
      <c r="A112" t="s">
        <v>551</v>
      </c>
      <c r="B112" s="4" t="s">
        <v>552</v>
      </c>
      <c r="C112" t="s">
        <v>301</v>
      </c>
      <c r="D112" t="s">
        <v>185</v>
      </c>
      <c r="E112">
        <v>0</v>
      </c>
      <c r="G112" t="s">
        <v>463</v>
      </c>
      <c r="I112" s="4" t="s">
        <v>553</v>
      </c>
    </row>
    <row r="113" spans="1:9" x14ac:dyDescent="0.3">
      <c r="A113" t="s">
        <v>554</v>
      </c>
      <c r="C113" t="s">
        <v>185</v>
      </c>
      <c r="D113" t="s">
        <v>555</v>
      </c>
      <c r="E113">
        <v>0.56000000000000005</v>
      </c>
      <c r="F113" t="s">
        <v>262</v>
      </c>
      <c r="G113" t="s">
        <v>463</v>
      </c>
    </row>
    <row r="114" spans="1:9" x14ac:dyDescent="0.3">
      <c r="A114" t="s">
        <v>556</v>
      </c>
      <c r="B114" s="4" t="s">
        <v>557</v>
      </c>
      <c r="C114" t="s">
        <v>185</v>
      </c>
      <c r="D114" t="s">
        <v>555</v>
      </c>
      <c r="E114">
        <v>0.56000000000000005</v>
      </c>
      <c r="F114" t="s">
        <v>262</v>
      </c>
      <c r="G114" t="s">
        <v>463</v>
      </c>
      <c r="H114" s="4" t="s">
        <v>264</v>
      </c>
      <c r="I114" s="4" t="s">
        <v>553</v>
      </c>
    </row>
    <row r="115" spans="1:9" x14ac:dyDescent="0.3">
      <c r="A115" t="s">
        <v>558</v>
      </c>
      <c r="C115" t="s">
        <v>185</v>
      </c>
      <c r="D115" t="s">
        <v>559</v>
      </c>
      <c r="E115">
        <v>7.61</v>
      </c>
      <c r="F115" t="s">
        <v>312</v>
      </c>
      <c r="G115" t="s">
        <v>388</v>
      </c>
    </row>
    <row r="116" spans="1:9" x14ac:dyDescent="0.3">
      <c r="A116" t="s">
        <v>560</v>
      </c>
      <c r="B116" s="4" t="s">
        <v>561</v>
      </c>
      <c r="C116" t="s">
        <v>185</v>
      </c>
      <c r="D116" t="s">
        <v>190</v>
      </c>
      <c r="E116">
        <v>0.28000000000000003</v>
      </c>
      <c r="F116" t="s">
        <v>562</v>
      </c>
      <c r="G116" t="s">
        <v>388</v>
      </c>
      <c r="H116" s="4" t="s">
        <v>563</v>
      </c>
      <c r="I116" s="4" t="s">
        <v>564</v>
      </c>
    </row>
    <row r="117" spans="1:9" x14ac:dyDescent="0.3">
      <c r="A117" t="s">
        <v>565</v>
      </c>
      <c r="B117" s="4" t="s">
        <v>566</v>
      </c>
      <c r="C117" t="s">
        <v>234</v>
      </c>
      <c r="D117" t="s">
        <v>190</v>
      </c>
      <c r="E117">
        <v>0.28000000000000003</v>
      </c>
      <c r="F117" t="s">
        <v>467</v>
      </c>
      <c r="G117" t="s">
        <v>567</v>
      </c>
      <c r="H117" s="4" t="s">
        <v>468</v>
      </c>
      <c r="I117" s="4" t="s">
        <v>568</v>
      </c>
    </row>
    <row r="118" spans="1:9" x14ac:dyDescent="0.3">
      <c r="A118" t="s">
        <v>569</v>
      </c>
      <c r="B118" s="4" t="s">
        <v>570</v>
      </c>
      <c r="C118" t="s">
        <v>511</v>
      </c>
      <c r="D118" t="s">
        <v>190</v>
      </c>
      <c r="E118">
        <v>0.28000000000000003</v>
      </c>
      <c r="F118" t="s">
        <v>312</v>
      </c>
      <c r="G118" t="s">
        <v>381</v>
      </c>
      <c r="H118" s="4" t="s">
        <v>314</v>
      </c>
      <c r="I118" s="4" t="s">
        <v>382</v>
      </c>
    </row>
    <row r="119" spans="1:9" x14ac:dyDescent="0.3">
      <c r="A119" t="s">
        <v>571</v>
      </c>
      <c r="B119" s="4" t="s">
        <v>572</v>
      </c>
      <c r="C119" t="s">
        <v>539</v>
      </c>
      <c r="D119" t="s">
        <v>190</v>
      </c>
      <c r="E119">
        <v>0.28000000000000003</v>
      </c>
      <c r="F119" t="s">
        <v>476</v>
      </c>
      <c r="G119" t="s">
        <v>521</v>
      </c>
      <c r="H119" s="4" t="s">
        <v>162</v>
      </c>
      <c r="I119" s="4" t="s">
        <v>522</v>
      </c>
    </row>
    <row r="120" spans="1:9" x14ac:dyDescent="0.3">
      <c r="A120" t="s">
        <v>573</v>
      </c>
      <c r="B120" s="4" t="s">
        <v>574</v>
      </c>
      <c r="C120" t="s">
        <v>280</v>
      </c>
      <c r="D120" t="s">
        <v>190</v>
      </c>
      <c r="E120">
        <v>0.28000000000000003</v>
      </c>
      <c r="F120" t="s">
        <v>480</v>
      </c>
      <c r="G120" t="s">
        <v>575</v>
      </c>
      <c r="H120" s="4" t="s">
        <v>481</v>
      </c>
      <c r="I120" s="4" t="s">
        <v>576</v>
      </c>
    </row>
    <row r="121" spans="1:9" x14ac:dyDescent="0.3">
      <c r="A121" t="s">
        <v>577</v>
      </c>
      <c r="B121" s="4" t="s">
        <v>578</v>
      </c>
      <c r="C121" t="s">
        <v>579</v>
      </c>
      <c r="D121" t="s">
        <v>190</v>
      </c>
      <c r="E121">
        <v>0.28000000000000003</v>
      </c>
      <c r="F121" t="s">
        <v>485</v>
      </c>
      <c r="G121" t="s">
        <v>476</v>
      </c>
      <c r="H121" s="4" t="s">
        <v>486</v>
      </c>
      <c r="I121" s="4" t="s">
        <v>162</v>
      </c>
    </row>
    <row r="122" spans="1:9" x14ac:dyDescent="0.3">
      <c r="A122" t="s">
        <v>580</v>
      </c>
      <c r="B122" s="4" t="s">
        <v>581</v>
      </c>
      <c r="C122" t="s">
        <v>582</v>
      </c>
      <c r="D122" t="s">
        <v>190</v>
      </c>
      <c r="E122">
        <v>0.28000000000000003</v>
      </c>
      <c r="F122" t="s">
        <v>364</v>
      </c>
      <c r="G122" t="s">
        <v>420</v>
      </c>
      <c r="H122" s="4" t="s">
        <v>365</v>
      </c>
      <c r="I122" s="4" t="s">
        <v>421</v>
      </c>
    </row>
    <row r="123" spans="1:9" x14ac:dyDescent="0.3">
      <c r="A123" t="s">
        <v>583</v>
      </c>
      <c r="B123" s="4" t="s">
        <v>584</v>
      </c>
      <c r="C123" t="s">
        <v>579</v>
      </c>
      <c r="D123" t="s">
        <v>190</v>
      </c>
      <c r="E123">
        <v>0.28000000000000003</v>
      </c>
      <c r="F123" t="s">
        <v>485</v>
      </c>
      <c r="G123" t="s">
        <v>476</v>
      </c>
      <c r="H123" s="4" t="s">
        <v>486</v>
      </c>
      <c r="I123" s="4" t="s">
        <v>162</v>
      </c>
    </row>
    <row r="124" spans="1:9" x14ac:dyDescent="0.3">
      <c r="A124" t="s">
        <v>585</v>
      </c>
      <c r="B124" s="4" t="s">
        <v>586</v>
      </c>
      <c r="C124" t="s">
        <v>520</v>
      </c>
      <c r="D124" t="s">
        <v>190</v>
      </c>
      <c r="E124">
        <v>0.28000000000000003</v>
      </c>
      <c r="F124" t="s">
        <v>392</v>
      </c>
      <c r="G124" t="s">
        <v>480</v>
      </c>
      <c r="H124" s="4" t="s">
        <v>457</v>
      </c>
      <c r="I124" s="4" t="s">
        <v>481</v>
      </c>
    </row>
    <row r="125" spans="1:9" x14ac:dyDescent="0.3">
      <c r="A125" t="s">
        <v>587</v>
      </c>
      <c r="B125" s="4" t="s">
        <v>588</v>
      </c>
      <c r="C125" t="s">
        <v>589</v>
      </c>
      <c r="D125" t="s">
        <v>190</v>
      </c>
      <c r="E125">
        <v>0.28000000000000003</v>
      </c>
      <c r="F125" t="s">
        <v>590</v>
      </c>
      <c r="G125" t="s">
        <v>368</v>
      </c>
      <c r="H125" s="4" t="s">
        <v>591</v>
      </c>
      <c r="I125" s="4" t="s">
        <v>369</v>
      </c>
    </row>
    <row r="126" spans="1:9" x14ac:dyDescent="0.3">
      <c r="A126" t="s">
        <v>592</v>
      </c>
      <c r="B126" s="4" t="s">
        <v>593</v>
      </c>
      <c r="C126" t="s">
        <v>427</v>
      </c>
      <c r="D126" t="s">
        <v>190</v>
      </c>
      <c r="E126">
        <v>0.28000000000000003</v>
      </c>
      <c r="F126" t="s">
        <v>480</v>
      </c>
      <c r="G126" t="s">
        <v>594</v>
      </c>
      <c r="H126" s="4" t="s">
        <v>481</v>
      </c>
      <c r="I126" s="4" t="s">
        <v>595</v>
      </c>
    </row>
    <row r="127" spans="1:9" x14ac:dyDescent="0.3">
      <c r="A127" t="s">
        <v>596</v>
      </c>
      <c r="B127" s="4" t="s">
        <v>597</v>
      </c>
      <c r="C127" t="s">
        <v>589</v>
      </c>
      <c r="D127" t="s">
        <v>190</v>
      </c>
      <c r="E127">
        <v>0.28000000000000003</v>
      </c>
      <c r="F127" t="s">
        <v>590</v>
      </c>
      <c r="G127" t="s">
        <v>368</v>
      </c>
      <c r="H127" s="4" t="s">
        <v>591</v>
      </c>
      <c r="I127" s="4" t="s">
        <v>369</v>
      </c>
    </row>
    <row r="128" spans="1:9" x14ac:dyDescent="0.3">
      <c r="A128" t="s">
        <v>598</v>
      </c>
      <c r="B128" s="4" t="s">
        <v>599</v>
      </c>
      <c r="C128" t="s">
        <v>589</v>
      </c>
      <c r="D128" t="s">
        <v>190</v>
      </c>
      <c r="E128">
        <v>0.28000000000000003</v>
      </c>
      <c r="F128" t="s">
        <v>590</v>
      </c>
      <c r="G128" t="s">
        <v>368</v>
      </c>
      <c r="H128" s="4" t="s">
        <v>591</v>
      </c>
      <c r="I128" s="4" t="s">
        <v>369</v>
      </c>
    </row>
    <row r="129" spans="1:9" x14ac:dyDescent="0.3">
      <c r="A129" t="s">
        <v>600</v>
      </c>
      <c r="B129" s="4" t="s">
        <v>601</v>
      </c>
      <c r="C129" t="s">
        <v>423</v>
      </c>
      <c r="D129" t="s">
        <v>190</v>
      </c>
      <c r="E129">
        <v>0.28000000000000003</v>
      </c>
      <c r="F129" t="s">
        <v>396</v>
      </c>
      <c r="G129" t="s">
        <v>269</v>
      </c>
      <c r="H129" s="4" t="s">
        <v>413</v>
      </c>
      <c r="I129" s="4" t="s">
        <v>271</v>
      </c>
    </row>
    <row r="130" spans="1:9" x14ac:dyDescent="0.3">
      <c r="A130" t="s">
        <v>602</v>
      </c>
      <c r="B130" s="4" t="s">
        <v>603</v>
      </c>
      <c r="C130" t="s">
        <v>415</v>
      </c>
      <c r="D130" t="s">
        <v>206</v>
      </c>
      <c r="E130">
        <v>0.28000000000000003</v>
      </c>
      <c r="F130" t="s">
        <v>332</v>
      </c>
      <c r="G130" t="s">
        <v>604</v>
      </c>
      <c r="H130" s="4" t="s">
        <v>333</v>
      </c>
      <c r="I130" s="4" t="s">
        <v>605</v>
      </c>
    </row>
    <row r="131" spans="1:9" x14ac:dyDescent="0.3">
      <c r="A131" t="s">
        <v>606</v>
      </c>
      <c r="B131" s="4" t="s">
        <v>607</v>
      </c>
      <c r="C131" t="s">
        <v>608</v>
      </c>
      <c r="D131" t="s">
        <v>206</v>
      </c>
      <c r="E131">
        <v>0.28000000000000003</v>
      </c>
      <c r="F131" t="s">
        <v>420</v>
      </c>
      <c r="G131" t="s">
        <v>396</v>
      </c>
      <c r="H131" s="4" t="s">
        <v>421</v>
      </c>
      <c r="I131" s="4" t="s">
        <v>413</v>
      </c>
    </row>
    <row r="132" spans="1:9" x14ac:dyDescent="0.3">
      <c r="A132" t="s">
        <v>609</v>
      </c>
      <c r="B132" s="4" t="s">
        <v>610</v>
      </c>
      <c r="C132" t="s">
        <v>500</v>
      </c>
      <c r="D132" t="s">
        <v>190</v>
      </c>
      <c r="E132">
        <v>0.28000000000000003</v>
      </c>
      <c r="F132" t="s">
        <v>521</v>
      </c>
      <c r="G132" t="s">
        <v>611</v>
      </c>
      <c r="H132" s="4" t="s">
        <v>522</v>
      </c>
      <c r="I132" s="4" t="s">
        <v>612</v>
      </c>
    </row>
    <row r="133" spans="1:9" x14ac:dyDescent="0.3">
      <c r="A133" t="s">
        <v>613</v>
      </c>
      <c r="B133" s="4" t="s">
        <v>614</v>
      </c>
      <c r="C133" t="s">
        <v>416</v>
      </c>
      <c r="D133" t="s">
        <v>190</v>
      </c>
      <c r="E133">
        <v>0.28000000000000003</v>
      </c>
      <c r="F133" t="s">
        <v>567</v>
      </c>
      <c r="G133" t="s">
        <v>615</v>
      </c>
      <c r="H133" s="4" t="s">
        <v>568</v>
      </c>
      <c r="I133" s="4" t="s">
        <v>616</v>
      </c>
    </row>
    <row r="134" spans="1:9" x14ac:dyDescent="0.3">
      <c r="A134" t="s">
        <v>617</v>
      </c>
      <c r="B134" s="4" t="s">
        <v>618</v>
      </c>
      <c r="C134" t="s">
        <v>416</v>
      </c>
      <c r="D134" t="s">
        <v>190</v>
      </c>
      <c r="E134">
        <v>0.28000000000000003</v>
      </c>
      <c r="F134" t="s">
        <v>567</v>
      </c>
      <c r="G134" t="s">
        <v>615</v>
      </c>
      <c r="H134" s="4" t="s">
        <v>568</v>
      </c>
      <c r="I134" s="4" t="s">
        <v>616</v>
      </c>
    </row>
    <row r="135" spans="1:9" x14ac:dyDescent="0.3">
      <c r="A135" t="s">
        <v>620</v>
      </c>
      <c r="B135" s="4" t="s">
        <v>621</v>
      </c>
      <c r="C135" t="s">
        <v>622</v>
      </c>
      <c r="D135" t="s">
        <v>195</v>
      </c>
      <c r="E135">
        <v>0.28000000000000003</v>
      </c>
      <c r="F135" t="s">
        <v>501</v>
      </c>
      <c r="G135" t="s">
        <v>480</v>
      </c>
      <c r="H135" s="4" t="s">
        <v>502</v>
      </c>
      <c r="I135" s="4" t="s">
        <v>481</v>
      </c>
    </row>
    <row r="136" spans="1:9" x14ac:dyDescent="0.3">
      <c r="A136" t="s">
        <v>624</v>
      </c>
      <c r="B136" s="4" t="s">
        <v>625</v>
      </c>
      <c r="C136" t="s">
        <v>626</v>
      </c>
      <c r="D136" t="s">
        <v>190</v>
      </c>
      <c r="E136">
        <v>0.28000000000000003</v>
      </c>
      <c r="F136" t="s">
        <v>627</v>
      </c>
      <c r="G136" t="s">
        <v>628</v>
      </c>
      <c r="H136" s="4" t="s">
        <v>629</v>
      </c>
      <c r="I136" s="4" t="s">
        <v>630</v>
      </c>
    </row>
    <row r="137" spans="1:9" x14ac:dyDescent="0.3">
      <c r="A137" t="s">
        <v>631</v>
      </c>
      <c r="B137" s="4" t="s">
        <v>632</v>
      </c>
      <c r="C137" t="s">
        <v>626</v>
      </c>
      <c r="D137" t="s">
        <v>190</v>
      </c>
      <c r="E137">
        <v>0.28000000000000003</v>
      </c>
      <c r="F137" t="s">
        <v>627</v>
      </c>
      <c r="G137" t="s">
        <v>628</v>
      </c>
      <c r="H137" s="4" t="s">
        <v>629</v>
      </c>
      <c r="I137" s="4" t="s">
        <v>630</v>
      </c>
    </row>
    <row r="138" spans="1:9" x14ac:dyDescent="0.3">
      <c r="A138" t="s">
        <v>633</v>
      </c>
      <c r="B138" s="4" t="s">
        <v>634</v>
      </c>
      <c r="C138" t="s">
        <v>416</v>
      </c>
      <c r="D138" t="s">
        <v>190</v>
      </c>
      <c r="E138">
        <v>0.28000000000000003</v>
      </c>
      <c r="F138" t="s">
        <v>567</v>
      </c>
      <c r="G138" t="s">
        <v>615</v>
      </c>
      <c r="H138" s="4" t="s">
        <v>568</v>
      </c>
      <c r="I138" s="4" t="s">
        <v>616</v>
      </c>
    </row>
    <row r="139" spans="1:9" x14ac:dyDescent="0.3">
      <c r="A139" t="s">
        <v>635</v>
      </c>
      <c r="B139" s="4" t="s">
        <v>636</v>
      </c>
      <c r="C139" t="s">
        <v>520</v>
      </c>
      <c r="D139" t="s">
        <v>190</v>
      </c>
      <c r="E139">
        <v>0.28000000000000003</v>
      </c>
      <c r="F139" t="s">
        <v>392</v>
      </c>
      <c r="G139" t="s">
        <v>480</v>
      </c>
      <c r="H139" s="4" t="s">
        <v>457</v>
      </c>
      <c r="I139" s="4" t="s">
        <v>481</v>
      </c>
    </row>
    <row r="140" spans="1:9" x14ac:dyDescent="0.3">
      <c r="A140" t="s">
        <v>637</v>
      </c>
      <c r="B140" s="4" t="s">
        <v>638</v>
      </c>
      <c r="C140" t="s">
        <v>622</v>
      </c>
      <c r="D140" t="s">
        <v>210</v>
      </c>
      <c r="E140">
        <v>0.28000000000000003</v>
      </c>
      <c r="F140" t="s">
        <v>480</v>
      </c>
      <c r="G140" t="s">
        <v>480</v>
      </c>
      <c r="H140" s="4" t="s">
        <v>481</v>
      </c>
      <c r="I140" s="4" t="s">
        <v>481</v>
      </c>
    </row>
    <row r="141" spans="1:9" x14ac:dyDescent="0.3">
      <c r="A141" t="s">
        <v>910</v>
      </c>
      <c r="B141" s="4" t="s">
        <v>619</v>
      </c>
      <c r="C141" t="s">
        <v>579</v>
      </c>
      <c r="D141" t="s">
        <v>190</v>
      </c>
      <c r="E141">
        <v>0.28000000000000003</v>
      </c>
      <c r="F141" t="s">
        <v>485</v>
      </c>
      <c r="G141" t="s">
        <v>476</v>
      </c>
      <c r="H141" s="4" t="s">
        <v>486</v>
      </c>
      <c r="I141" s="4" t="s">
        <v>162</v>
      </c>
    </row>
    <row r="142" spans="1:9" x14ac:dyDescent="0.3">
      <c r="A142" t="s">
        <v>911</v>
      </c>
      <c r="B142" s="4" t="s">
        <v>623</v>
      </c>
      <c r="C142" t="s">
        <v>234</v>
      </c>
      <c r="D142" t="s">
        <v>190</v>
      </c>
      <c r="E142">
        <v>0.28000000000000003</v>
      </c>
      <c r="F142" t="s">
        <v>467</v>
      </c>
      <c r="G142" t="s">
        <v>567</v>
      </c>
      <c r="H142" s="4" t="s">
        <v>468</v>
      </c>
      <c r="I142" s="4" t="s">
        <v>568</v>
      </c>
    </row>
    <row r="143" spans="1:9" x14ac:dyDescent="0.3">
      <c r="A143" t="s">
        <v>639</v>
      </c>
      <c r="B143" s="4" t="s">
        <v>640</v>
      </c>
      <c r="C143" t="s">
        <v>185</v>
      </c>
      <c r="D143" t="s">
        <v>185</v>
      </c>
      <c r="E143">
        <v>0</v>
      </c>
      <c r="G143" t="s">
        <v>388</v>
      </c>
      <c r="I143" s="4" t="s">
        <v>564</v>
      </c>
    </row>
    <row r="144" spans="1:9" x14ac:dyDescent="0.3">
      <c r="A144" t="s">
        <v>641</v>
      </c>
      <c r="C144" t="s">
        <v>185</v>
      </c>
      <c r="D144" t="s">
        <v>423</v>
      </c>
      <c r="E144">
        <v>8.0299999999999994</v>
      </c>
      <c r="F144" t="s">
        <v>642</v>
      </c>
      <c r="G144" t="s">
        <v>385</v>
      </c>
    </row>
    <row r="145" spans="1:9" x14ac:dyDescent="0.3">
      <c r="A145" t="s">
        <v>643</v>
      </c>
      <c r="C145" t="s">
        <v>608</v>
      </c>
      <c r="D145" t="s">
        <v>331</v>
      </c>
      <c r="E145">
        <v>2.96</v>
      </c>
      <c r="F145" t="s">
        <v>642</v>
      </c>
      <c r="G145" t="s">
        <v>644</v>
      </c>
    </row>
    <row r="146" spans="1:9" x14ac:dyDescent="0.3">
      <c r="A146">
        <v>7335</v>
      </c>
      <c r="B146" s="4" t="s">
        <v>645</v>
      </c>
      <c r="C146" t="s">
        <v>185</v>
      </c>
      <c r="D146" t="s">
        <v>190</v>
      </c>
      <c r="E146">
        <v>0.49</v>
      </c>
      <c r="F146" t="s">
        <v>642</v>
      </c>
      <c r="G146" t="s">
        <v>521</v>
      </c>
      <c r="H146" s="4" t="s">
        <v>646</v>
      </c>
      <c r="I146" s="4" t="s">
        <v>522</v>
      </c>
    </row>
    <row r="147" spans="1:9" x14ac:dyDescent="0.3">
      <c r="A147">
        <v>7336</v>
      </c>
      <c r="B147" s="4" t="s">
        <v>647</v>
      </c>
      <c r="C147" t="s">
        <v>185</v>
      </c>
      <c r="D147" t="s">
        <v>190</v>
      </c>
      <c r="E147">
        <v>0.49</v>
      </c>
      <c r="F147" t="s">
        <v>521</v>
      </c>
      <c r="G147" t="s">
        <v>467</v>
      </c>
      <c r="H147" s="4" t="s">
        <v>522</v>
      </c>
      <c r="I147" s="4" t="s">
        <v>468</v>
      </c>
    </row>
    <row r="148" spans="1:9" x14ac:dyDescent="0.3">
      <c r="A148">
        <v>7339</v>
      </c>
      <c r="B148" s="4" t="s">
        <v>648</v>
      </c>
      <c r="C148" t="s">
        <v>466</v>
      </c>
      <c r="D148" t="s">
        <v>195</v>
      </c>
      <c r="E148">
        <v>0.49</v>
      </c>
      <c r="F148" t="s">
        <v>467</v>
      </c>
      <c r="G148" t="s">
        <v>644</v>
      </c>
      <c r="H148" s="4" t="s">
        <v>468</v>
      </c>
      <c r="I148" s="4" t="s">
        <v>649</v>
      </c>
    </row>
    <row r="149" spans="1:9" x14ac:dyDescent="0.3">
      <c r="A149">
        <v>7340</v>
      </c>
      <c r="B149" s="4" t="s">
        <v>650</v>
      </c>
      <c r="C149" t="s">
        <v>466</v>
      </c>
      <c r="D149" t="s">
        <v>195</v>
      </c>
      <c r="E149">
        <v>0.49</v>
      </c>
      <c r="F149" t="s">
        <v>467</v>
      </c>
      <c r="G149" t="s">
        <v>644</v>
      </c>
      <c r="H149" s="4" t="s">
        <v>468</v>
      </c>
      <c r="I149" s="4" t="s">
        <v>649</v>
      </c>
    </row>
    <row r="150" spans="1:9" x14ac:dyDescent="0.3">
      <c r="A150">
        <v>7353</v>
      </c>
      <c r="B150" s="4" t="s">
        <v>651</v>
      </c>
      <c r="C150" t="s">
        <v>185</v>
      </c>
      <c r="D150" t="s">
        <v>190</v>
      </c>
      <c r="E150">
        <v>0.49</v>
      </c>
      <c r="F150" t="s">
        <v>642</v>
      </c>
      <c r="G150" t="s">
        <v>521</v>
      </c>
      <c r="H150" s="4" t="s">
        <v>646</v>
      </c>
      <c r="I150" s="4" t="s">
        <v>522</v>
      </c>
    </row>
    <row r="151" spans="1:9" x14ac:dyDescent="0.3">
      <c r="A151">
        <v>7354</v>
      </c>
      <c r="B151" s="4" t="s">
        <v>652</v>
      </c>
      <c r="C151" t="s">
        <v>185</v>
      </c>
      <c r="D151" t="s">
        <v>190</v>
      </c>
      <c r="E151">
        <v>0.49</v>
      </c>
      <c r="F151" t="s">
        <v>521</v>
      </c>
      <c r="G151" t="s">
        <v>467</v>
      </c>
      <c r="H151" s="4" t="s">
        <v>522</v>
      </c>
      <c r="I151" s="4" t="s">
        <v>468</v>
      </c>
    </row>
    <row r="152" spans="1:9" x14ac:dyDescent="0.3">
      <c r="A152">
        <v>7364</v>
      </c>
      <c r="B152" s="4" t="s">
        <v>653</v>
      </c>
      <c r="C152" t="s">
        <v>608</v>
      </c>
      <c r="D152" t="s">
        <v>185</v>
      </c>
      <c r="E152">
        <v>0</v>
      </c>
      <c r="G152" t="s">
        <v>644</v>
      </c>
      <c r="I152" s="4" t="s">
        <v>649</v>
      </c>
    </row>
    <row r="153" spans="1:9" x14ac:dyDescent="0.3">
      <c r="A153" t="s">
        <v>654</v>
      </c>
      <c r="C153" t="s">
        <v>195</v>
      </c>
      <c r="D153" t="s">
        <v>622</v>
      </c>
      <c r="E153">
        <v>3.38</v>
      </c>
      <c r="F153" t="s">
        <v>655</v>
      </c>
      <c r="G153" t="s">
        <v>656</v>
      </c>
    </row>
    <row r="154" spans="1:9" x14ac:dyDescent="0.3">
      <c r="A154" t="s">
        <v>657</v>
      </c>
      <c r="B154" s="4" t="s">
        <v>658</v>
      </c>
      <c r="C154" t="s">
        <v>185</v>
      </c>
      <c r="D154" t="s">
        <v>659</v>
      </c>
      <c r="E154">
        <v>0.56000000000000005</v>
      </c>
      <c r="F154" t="s">
        <v>660</v>
      </c>
      <c r="G154" t="s">
        <v>656</v>
      </c>
      <c r="H154" s="4" t="s">
        <v>661</v>
      </c>
      <c r="I154" s="4" t="s">
        <v>662</v>
      </c>
    </row>
    <row r="155" spans="1:9" x14ac:dyDescent="0.3">
      <c r="A155" t="s">
        <v>663</v>
      </c>
      <c r="B155" s="4" t="s">
        <v>664</v>
      </c>
      <c r="C155" t="s">
        <v>185</v>
      </c>
      <c r="D155" t="s">
        <v>659</v>
      </c>
      <c r="E155">
        <v>0.56000000000000005</v>
      </c>
      <c r="F155" t="s">
        <v>660</v>
      </c>
      <c r="G155" t="s">
        <v>656</v>
      </c>
      <c r="H155" s="4" t="s">
        <v>661</v>
      </c>
      <c r="I155" s="4" t="s">
        <v>662</v>
      </c>
    </row>
    <row r="156" spans="1:9" x14ac:dyDescent="0.3">
      <c r="A156" t="s">
        <v>665</v>
      </c>
      <c r="B156" s="4" t="s">
        <v>666</v>
      </c>
      <c r="C156" t="s">
        <v>466</v>
      </c>
      <c r="D156" t="s">
        <v>667</v>
      </c>
      <c r="E156">
        <v>0.56000000000000005</v>
      </c>
      <c r="F156" t="s">
        <v>655</v>
      </c>
      <c r="G156" t="s">
        <v>668</v>
      </c>
      <c r="H156" s="4" t="s">
        <v>669</v>
      </c>
      <c r="I156" s="4" t="s">
        <v>670</v>
      </c>
    </row>
    <row r="157" spans="1:9" x14ac:dyDescent="0.3">
      <c r="A157" t="s">
        <v>671</v>
      </c>
      <c r="B157" s="4" t="s">
        <v>672</v>
      </c>
      <c r="C157" t="s">
        <v>466</v>
      </c>
      <c r="D157" t="s">
        <v>667</v>
      </c>
      <c r="E157">
        <v>0.56000000000000005</v>
      </c>
      <c r="F157" t="s">
        <v>655</v>
      </c>
      <c r="G157" t="s">
        <v>668</v>
      </c>
      <c r="H157" s="4" t="s">
        <v>669</v>
      </c>
      <c r="I157" s="4" t="s">
        <v>670</v>
      </c>
    </row>
    <row r="158" spans="1:9" x14ac:dyDescent="0.3">
      <c r="A158" t="s">
        <v>673</v>
      </c>
      <c r="B158" s="4" t="s">
        <v>674</v>
      </c>
      <c r="C158" t="s">
        <v>185</v>
      </c>
      <c r="D158" t="s">
        <v>659</v>
      </c>
      <c r="E158">
        <v>0.56000000000000005</v>
      </c>
      <c r="F158" t="s">
        <v>660</v>
      </c>
      <c r="G158" t="s">
        <v>656</v>
      </c>
      <c r="H158" s="4" t="s">
        <v>661</v>
      </c>
      <c r="I158" s="4" t="s">
        <v>662</v>
      </c>
    </row>
    <row r="159" spans="1:9" x14ac:dyDescent="0.3">
      <c r="A159" t="s">
        <v>675</v>
      </c>
      <c r="B159" s="4" t="s">
        <v>676</v>
      </c>
      <c r="C159" t="s">
        <v>185</v>
      </c>
      <c r="D159" t="s">
        <v>659</v>
      </c>
      <c r="E159">
        <v>0.56000000000000005</v>
      </c>
      <c r="F159" t="s">
        <v>660</v>
      </c>
      <c r="G159" t="s">
        <v>656</v>
      </c>
      <c r="H159" s="4" t="s">
        <v>661</v>
      </c>
      <c r="I159" s="4" t="s">
        <v>662</v>
      </c>
    </row>
    <row r="160" spans="1:9" x14ac:dyDescent="0.3">
      <c r="A160" t="s">
        <v>677</v>
      </c>
      <c r="B160" s="4" t="s">
        <v>52</v>
      </c>
      <c r="C160" t="s">
        <v>195</v>
      </c>
      <c r="D160" t="s">
        <v>185</v>
      </c>
      <c r="E160">
        <v>0</v>
      </c>
      <c r="G160" t="s">
        <v>656</v>
      </c>
      <c r="I160" s="4" t="s">
        <v>662</v>
      </c>
    </row>
    <row r="161" spans="1:9" x14ac:dyDescent="0.3">
      <c r="A161" t="s">
        <v>678</v>
      </c>
      <c r="C161" t="s">
        <v>185</v>
      </c>
      <c r="D161" t="s">
        <v>484</v>
      </c>
      <c r="E161">
        <v>1.69</v>
      </c>
      <c r="F161" t="s">
        <v>668</v>
      </c>
      <c r="G161" t="s">
        <v>385</v>
      </c>
    </row>
    <row r="162" spans="1:9" x14ac:dyDescent="0.3">
      <c r="A162" t="s">
        <v>679</v>
      </c>
      <c r="B162" s="4" t="s">
        <v>680</v>
      </c>
      <c r="C162" t="s">
        <v>185</v>
      </c>
      <c r="D162" t="s">
        <v>195</v>
      </c>
      <c r="E162">
        <v>0.28000000000000003</v>
      </c>
      <c r="F162" t="s">
        <v>656</v>
      </c>
      <c r="G162" t="s">
        <v>385</v>
      </c>
      <c r="H162" s="4" t="s">
        <v>662</v>
      </c>
      <c r="I162" s="4" t="s">
        <v>681</v>
      </c>
    </row>
    <row r="163" spans="1:9" x14ac:dyDescent="0.3">
      <c r="A163" t="s">
        <v>682</v>
      </c>
      <c r="B163" s="4" t="s">
        <v>683</v>
      </c>
      <c r="C163" t="s">
        <v>185</v>
      </c>
      <c r="D163" t="s">
        <v>195</v>
      </c>
      <c r="E163">
        <v>0.28000000000000003</v>
      </c>
      <c r="F163" t="s">
        <v>656</v>
      </c>
      <c r="G163" t="s">
        <v>385</v>
      </c>
      <c r="H163" s="4" t="s">
        <v>662</v>
      </c>
      <c r="I163" s="4" t="s">
        <v>681</v>
      </c>
    </row>
    <row r="164" spans="1:9" x14ac:dyDescent="0.3">
      <c r="A164" t="s">
        <v>684</v>
      </c>
      <c r="B164" s="4" t="s">
        <v>685</v>
      </c>
      <c r="C164" t="s">
        <v>475</v>
      </c>
      <c r="D164" t="s">
        <v>210</v>
      </c>
      <c r="E164">
        <v>0.28000000000000003</v>
      </c>
      <c r="F164" t="s">
        <v>668</v>
      </c>
      <c r="G164" t="s">
        <v>686</v>
      </c>
      <c r="H164" s="4" t="s">
        <v>670</v>
      </c>
      <c r="I164" s="4" t="s">
        <v>687</v>
      </c>
    </row>
    <row r="165" spans="1:9" x14ac:dyDescent="0.3">
      <c r="A165" t="s">
        <v>688</v>
      </c>
      <c r="B165" s="4" t="s">
        <v>689</v>
      </c>
      <c r="C165" t="s">
        <v>475</v>
      </c>
      <c r="D165" t="s">
        <v>210</v>
      </c>
      <c r="E165">
        <v>0.28000000000000003</v>
      </c>
      <c r="F165" t="s">
        <v>668</v>
      </c>
      <c r="G165" t="s">
        <v>686</v>
      </c>
      <c r="H165" s="4" t="s">
        <v>670</v>
      </c>
      <c r="I165" s="4" t="s">
        <v>687</v>
      </c>
    </row>
    <row r="166" spans="1:9" x14ac:dyDescent="0.3">
      <c r="A166" t="s">
        <v>690</v>
      </c>
      <c r="B166" s="4" t="s">
        <v>691</v>
      </c>
      <c r="C166" t="s">
        <v>185</v>
      </c>
      <c r="D166" t="s">
        <v>195</v>
      </c>
      <c r="E166">
        <v>0.28000000000000003</v>
      </c>
      <c r="F166" t="s">
        <v>656</v>
      </c>
      <c r="G166" t="s">
        <v>385</v>
      </c>
      <c r="H166" s="4" t="s">
        <v>662</v>
      </c>
      <c r="I166" s="4" t="s">
        <v>681</v>
      </c>
    </row>
    <row r="167" spans="1:9" x14ac:dyDescent="0.3">
      <c r="A167" t="s">
        <v>692</v>
      </c>
      <c r="B167" s="4" t="s">
        <v>693</v>
      </c>
      <c r="C167" t="s">
        <v>185</v>
      </c>
      <c r="D167" t="s">
        <v>195</v>
      </c>
      <c r="E167">
        <v>0.28000000000000003</v>
      </c>
      <c r="F167" t="s">
        <v>656</v>
      </c>
      <c r="G167" t="s">
        <v>385</v>
      </c>
      <c r="H167" s="4" t="s">
        <v>662</v>
      </c>
      <c r="I167" s="4" t="s">
        <v>681</v>
      </c>
    </row>
    <row r="168" spans="1:9" x14ac:dyDescent="0.3">
      <c r="A168" t="s">
        <v>694</v>
      </c>
      <c r="B168" s="4" t="s">
        <v>695</v>
      </c>
      <c r="C168" t="s">
        <v>185</v>
      </c>
      <c r="D168" t="s">
        <v>185</v>
      </c>
      <c r="E168">
        <v>0</v>
      </c>
      <c r="G168" t="s">
        <v>385</v>
      </c>
      <c r="I168" s="4" t="s">
        <v>681</v>
      </c>
    </row>
    <row r="169" spans="1:9" x14ac:dyDescent="0.3">
      <c r="A169" t="s">
        <v>696</v>
      </c>
      <c r="C169" t="s">
        <v>438</v>
      </c>
      <c r="D169" t="s">
        <v>697</v>
      </c>
      <c r="E169">
        <v>32.26</v>
      </c>
      <c r="F169" t="s">
        <v>312</v>
      </c>
      <c r="G169" t="s">
        <v>698</v>
      </c>
    </row>
    <row r="170" spans="1:9" x14ac:dyDescent="0.3">
      <c r="A170" t="s">
        <v>699</v>
      </c>
      <c r="C170" t="s">
        <v>321</v>
      </c>
      <c r="D170" t="s">
        <v>191</v>
      </c>
      <c r="E170">
        <v>10.85</v>
      </c>
      <c r="F170" t="s">
        <v>312</v>
      </c>
      <c r="G170" t="s">
        <v>700</v>
      </c>
    </row>
    <row r="171" spans="1:9" x14ac:dyDescent="0.3">
      <c r="A171">
        <v>7327</v>
      </c>
      <c r="B171" s="4" t="s">
        <v>701</v>
      </c>
      <c r="C171" t="s">
        <v>206</v>
      </c>
      <c r="D171" t="s">
        <v>190</v>
      </c>
      <c r="E171">
        <v>0.49</v>
      </c>
      <c r="F171" t="s">
        <v>702</v>
      </c>
      <c r="G171" t="s">
        <v>703</v>
      </c>
      <c r="H171" s="4" t="s">
        <v>704</v>
      </c>
      <c r="I171" s="4" t="s">
        <v>705</v>
      </c>
    </row>
    <row r="172" spans="1:9" x14ac:dyDescent="0.3">
      <c r="A172">
        <v>7328</v>
      </c>
      <c r="B172" s="4" t="s">
        <v>706</v>
      </c>
      <c r="C172" t="s">
        <v>359</v>
      </c>
      <c r="D172" t="s">
        <v>190</v>
      </c>
      <c r="E172">
        <v>0.49</v>
      </c>
      <c r="F172" t="s">
        <v>707</v>
      </c>
      <c r="G172" t="s">
        <v>686</v>
      </c>
      <c r="H172" s="4" t="s">
        <v>708</v>
      </c>
      <c r="I172" s="4" t="s">
        <v>687</v>
      </c>
    </row>
    <row r="173" spans="1:9" x14ac:dyDescent="0.3">
      <c r="A173">
        <v>7329</v>
      </c>
      <c r="B173" s="4" t="s">
        <v>709</v>
      </c>
      <c r="C173" t="s">
        <v>206</v>
      </c>
      <c r="D173" t="s">
        <v>190</v>
      </c>
      <c r="E173">
        <v>0.49</v>
      </c>
      <c r="F173" t="s">
        <v>710</v>
      </c>
      <c r="G173" t="s">
        <v>270</v>
      </c>
      <c r="H173" s="4" t="s">
        <v>711</v>
      </c>
      <c r="I173" s="4" t="s">
        <v>272</v>
      </c>
    </row>
    <row r="174" spans="1:9" x14ac:dyDescent="0.3">
      <c r="A174">
        <v>7330</v>
      </c>
      <c r="B174" s="4" t="s">
        <v>712</v>
      </c>
      <c r="C174" t="s">
        <v>206</v>
      </c>
      <c r="D174" t="s">
        <v>206</v>
      </c>
      <c r="E174">
        <v>0.49</v>
      </c>
      <c r="F174" t="s">
        <v>521</v>
      </c>
      <c r="G174" t="s">
        <v>644</v>
      </c>
      <c r="H174" s="4" t="s">
        <v>522</v>
      </c>
      <c r="I174" s="4" t="s">
        <v>649</v>
      </c>
    </row>
    <row r="175" spans="1:9" x14ac:dyDescent="0.3">
      <c r="A175">
        <v>7331</v>
      </c>
      <c r="B175" s="4" t="s">
        <v>713</v>
      </c>
      <c r="C175" t="s">
        <v>206</v>
      </c>
      <c r="D175" t="s">
        <v>206</v>
      </c>
      <c r="E175">
        <v>0.49</v>
      </c>
      <c r="F175" t="s">
        <v>270</v>
      </c>
      <c r="G175" t="s">
        <v>714</v>
      </c>
      <c r="H175" s="4" t="s">
        <v>272</v>
      </c>
      <c r="I175" s="4" t="s">
        <v>715</v>
      </c>
    </row>
    <row r="176" spans="1:9" x14ac:dyDescent="0.3">
      <c r="A176">
        <v>7332</v>
      </c>
      <c r="B176" s="4" t="s">
        <v>716</v>
      </c>
      <c r="C176" t="s">
        <v>254</v>
      </c>
      <c r="D176" t="s">
        <v>301</v>
      </c>
      <c r="E176">
        <v>0.49</v>
      </c>
      <c r="F176" t="s">
        <v>392</v>
      </c>
      <c r="G176" t="s">
        <v>480</v>
      </c>
      <c r="H176" s="4" t="s">
        <v>457</v>
      </c>
      <c r="I176" s="4" t="s">
        <v>481</v>
      </c>
    </row>
    <row r="177" spans="1:9" x14ac:dyDescent="0.3">
      <c r="A177">
        <v>7333</v>
      </c>
      <c r="B177" s="4" t="s">
        <v>717</v>
      </c>
      <c r="C177" t="s">
        <v>206</v>
      </c>
      <c r="D177" t="s">
        <v>438</v>
      </c>
      <c r="E177">
        <v>0.49</v>
      </c>
      <c r="F177" t="s">
        <v>707</v>
      </c>
      <c r="G177" t="s">
        <v>562</v>
      </c>
      <c r="H177" s="4" t="s">
        <v>708</v>
      </c>
      <c r="I177" s="4" t="s">
        <v>563</v>
      </c>
    </row>
    <row r="178" spans="1:9" x14ac:dyDescent="0.3">
      <c r="A178">
        <v>7334</v>
      </c>
      <c r="B178" s="4" t="s">
        <v>718</v>
      </c>
      <c r="C178" t="s">
        <v>206</v>
      </c>
      <c r="D178" t="s">
        <v>301</v>
      </c>
      <c r="E178">
        <v>0.49</v>
      </c>
      <c r="F178" t="s">
        <v>719</v>
      </c>
      <c r="G178" t="s">
        <v>702</v>
      </c>
      <c r="H178" s="4" t="s">
        <v>720</v>
      </c>
      <c r="I178" s="4" t="s">
        <v>704</v>
      </c>
    </row>
    <row r="179" spans="1:9" x14ac:dyDescent="0.3">
      <c r="A179">
        <v>7342</v>
      </c>
      <c r="B179" s="4" t="s">
        <v>721</v>
      </c>
      <c r="C179" t="s">
        <v>206</v>
      </c>
      <c r="D179" t="s">
        <v>190</v>
      </c>
      <c r="E179">
        <v>0.49</v>
      </c>
      <c r="F179" t="s">
        <v>644</v>
      </c>
      <c r="G179" t="s">
        <v>535</v>
      </c>
      <c r="H179" s="4" t="s">
        <v>649</v>
      </c>
      <c r="I179" s="4" t="s">
        <v>536</v>
      </c>
    </row>
    <row r="180" spans="1:9" x14ac:dyDescent="0.3">
      <c r="A180">
        <v>7343</v>
      </c>
      <c r="B180" s="4" t="s">
        <v>722</v>
      </c>
      <c r="C180" t="s">
        <v>206</v>
      </c>
      <c r="D180" t="s">
        <v>190</v>
      </c>
      <c r="E180">
        <v>0.49</v>
      </c>
      <c r="F180" t="s">
        <v>476</v>
      </c>
      <c r="G180" t="s">
        <v>521</v>
      </c>
      <c r="H180" s="4" t="s">
        <v>162</v>
      </c>
      <c r="I180" s="4" t="s">
        <v>522</v>
      </c>
    </row>
    <row r="181" spans="1:9" x14ac:dyDescent="0.3">
      <c r="A181">
        <v>7344</v>
      </c>
      <c r="B181" s="4" t="s">
        <v>723</v>
      </c>
      <c r="C181" t="s">
        <v>438</v>
      </c>
      <c r="D181" t="s">
        <v>438</v>
      </c>
      <c r="E181">
        <v>0.49</v>
      </c>
      <c r="F181" t="s">
        <v>707</v>
      </c>
      <c r="G181" t="s">
        <v>562</v>
      </c>
      <c r="H181" s="4" t="s">
        <v>708</v>
      </c>
      <c r="I181" s="4" t="s">
        <v>563</v>
      </c>
    </row>
    <row r="182" spans="1:9" x14ac:dyDescent="0.3">
      <c r="A182">
        <v>7345</v>
      </c>
      <c r="B182" s="4" t="s">
        <v>724</v>
      </c>
      <c r="C182" t="s">
        <v>206</v>
      </c>
      <c r="D182" t="s">
        <v>438</v>
      </c>
      <c r="E182">
        <v>0.49</v>
      </c>
      <c r="F182" t="s">
        <v>535</v>
      </c>
      <c r="G182" t="s">
        <v>719</v>
      </c>
      <c r="H182" s="4" t="s">
        <v>536</v>
      </c>
      <c r="I182" s="4" t="s">
        <v>720</v>
      </c>
    </row>
    <row r="183" spans="1:9" x14ac:dyDescent="0.3">
      <c r="A183">
        <v>7346</v>
      </c>
      <c r="B183" s="4" t="s">
        <v>725</v>
      </c>
      <c r="C183" t="s">
        <v>206</v>
      </c>
      <c r="D183" t="s">
        <v>301</v>
      </c>
      <c r="E183">
        <v>0.49</v>
      </c>
      <c r="F183" t="s">
        <v>594</v>
      </c>
      <c r="G183" t="s">
        <v>476</v>
      </c>
      <c r="H183" s="4" t="s">
        <v>595</v>
      </c>
      <c r="I183" s="4" t="s">
        <v>162</v>
      </c>
    </row>
    <row r="184" spans="1:9" x14ac:dyDescent="0.3">
      <c r="A184">
        <v>7347</v>
      </c>
      <c r="B184" s="4" t="s">
        <v>726</v>
      </c>
      <c r="C184" t="s">
        <v>206</v>
      </c>
      <c r="D184" t="s">
        <v>301</v>
      </c>
      <c r="E184">
        <v>0.49</v>
      </c>
      <c r="F184" t="s">
        <v>714</v>
      </c>
      <c r="G184" t="s">
        <v>707</v>
      </c>
      <c r="H184" s="4" t="s">
        <v>715</v>
      </c>
      <c r="I184" s="4" t="s">
        <v>708</v>
      </c>
    </row>
    <row r="185" spans="1:9" x14ac:dyDescent="0.3">
      <c r="A185">
        <v>7348</v>
      </c>
      <c r="B185" s="4" t="s">
        <v>727</v>
      </c>
      <c r="C185" t="s">
        <v>206</v>
      </c>
      <c r="D185" t="s">
        <v>301</v>
      </c>
      <c r="E185">
        <v>0.49</v>
      </c>
      <c r="F185" t="s">
        <v>714</v>
      </c>
      <c r="G185" t="s">
        <v>707</v>
      </c>
      <c r="H185" s="4" t="s">
        <v>715</v>
      </c>
      <c r="I185" s="4" t="s">
        <v>708</v>
      </c>
    </row>
    <row r="186" spans="1:9" x14ac:dyDescent="0.3">
      <c r="A186">
        <v>7350</v>
      </c>
      <c r="B186" s="4" t="s">
        <v>728</v>
      </c>
      <c r="C186" t="s">
        <v>206</v>
      </c>
      <c r="D186" t="s">
        <v>438</v>
      </c>
      <c r="E186">
        <v>0.49</v>
      </c>
      <c r="F186" t="s">
        <v>392</v>
      </c>
      <c r="G186" t="s">
        <v>594</v>
      </c>
      <c r="H186" s="4" t="s">
        <v>457</v>
      </c>
      <c r="I186" s="4" t="s">
        <v>595</v>
      </c>
    </row>
    <row r="187" spans="1:9" x14ac:dyDescent="0.3">
      <c r="A187">
        <v>7351</v>
      </c>
      <c r="B187" s="4" t="s">
        <v>729</v>
      </c>
      <c r="C187" t="s">
        <v>185</v>
      </c>
      <c r="D187" t="s">
        <v>301</v>
      </c>
      <c r="E187">
        <v>0.49</v>
      </c>
      <c r="F187" t="s">
        <v>392</v>
      </c>
      <c r="G187" t="s">
        <v>480</v>
      </c>
      <c r="H187" s="4" t="s">
        <v>457</v>
      </c>
      <c r="I187" s="4" t="s">
        <v>481</v>
      </c>
    </row>
    <row r="188" spans="1:9" x14ac:dyDescent="0.3">
      <c r="A188">
        <v>7352</v>
      </c>
      <c r="B188" s="4" t="s">
        <v>730</v>
      </c>
      <c r="C188" t="s">
        <v>438</v>
      </c>
      <c r="D188" t="s">
        <v>301</v>
      </c>
      <c r="E188">
        <v>0.49</v>
      </c>
      <c r="F188" t="s">
        <v>562</v>
      </c>
      <c r="G188" t="s">
        <v>700</v>
      </c>
      <c r="H188" s="4" t="s">
        <v>563</v>
      </c>
      <c r="I188" s="4" t="s">
        <v>731</v>
      </c>
    </row>
    <row r="189" spans="1:9" x14ac:dyDescent="0.3">
      <c r="A189">
        <v>7356</v>
      </c>
      <c r="B189" s="4" t="s">
        <v>732</v>
      </c>
      <c r="C189" t="s">
        <v>206</v>
      </c>
      <c r="D189" t="s">
        <v>190</v>
      </c>
      <c r="E189">
        <v>0.49</v>
      </c>
      <c r="F189" t="s">
        <v>703</v>
      </c>
      <c r="G189" t="s">
        <v>710</v>
      </c>
      <c r="H189" s="4" t="s">
        <v>705</v>
      </c>
      <c r="I189" s="4" t="s">
        <v>711</v>
      </c>
    </row>
    <row r="190" spans="1:9" x14ac:dyDescent="0.3">
      <c r="A190">
        <v>7454</v>
      </c>
      <c r="B190" s="4" t="s">
        <v>733</v>
      </c>
      <c r="C190" t="s">
        <v>185</v>
      </c>
      <c r="D190" t="s">
        <v>438</v>
      </c>
      <c r="E190">
        <v>0.49</v>
      </c>
      <c r="F190" t="s">
        <v>480</v>
      </c>
      <c r="G190" t="s">
        <v>642</v>
      </c>
      <c r="H190" s="4" t="s">
        <v>481</v>
      </c>
      <c r="I190" s="4" t="s">
        <v>646</v>
      </c>
    </row>
    <row r="191" spans="1:9" x14ac:dyDescent="0.3">
      <c r="A191">
        <v>7455</v>
      </c>
      <c r="B191" s="4" t="s">
        <v>734</v>
      </c>
      <c r="C191" t="s">
        <v>185</v>
      </c>
      <c r="D191" t="s">
        <v>438</v>
      </c>
      <c r="E191">
        <v>0.49</v>
      </c>
      <c r="F191" t="s">
        <v>480</v>
      </c>
      <c r="G191" t="s">
        <v>642</v>
      </c>
      <c r="H191" s="4" t="s">
        <v>481</v>
      </c>
      <c r="I191" s="4" t="s">
        <v>646</v>
      </c>
    </row>
    <row r="192" spans="1:9" x14ac:dyDescent="0.3">
      <c r="A192">
        <v>7456</v>
      </c>
      <c r="B192" s="4" t="s">
        <v>735</v>
      </c>
      <c r="C192" t="s">
        <v>736</v>
      </c>
      <c r="D192" t="s">
        <v>438</v>
      </c>
      <c r="E192">
        <v>0.49</v>
      </c>
      <c r="F192" t="s">
        <v>312</v>
      </c>
      <c r="G192" t="s">
        <v>407</v>
      </c>
      <c r="H192" s="4" t="s">
        <v>314</v>
      </c>
      <c r="I192" s="4" t="s">
        <v>408</v>
      </c>
    </row>
    <row r="193" spans="1:9" x14ac:dyDescent="0.3">
      <c r="A193" t="s">
        <v>737</v>
      </c>
      <c r="B193" s="4" t="s">
        <v>738</v>
      </c>
      <c r="C193" t="s">
        <v>321</v>
      </c>
      <c r="D193" t="s">
        <v>185</v>
      </c>
      <c r="E193">
        <v>0</v>
      </c>
      <c r="G193" t="s">
        <v>700</v>
      </c>
      <c r="I193" s="4" t="s">
        <v>731</v>
      </c>
    </row>
    <row r="194" spans="1:9" x14ac:dyDescent="0.3">
      <c r="A194" t="s">
        <v>739</v>
      </c>
      <c r="C194" t="s">
        <v>254</v>
      </c>
      <c r="D194" t="s">
        <v>740</v>
      </c>
      <c r="E194">
        <v>15.78</v>
      </c>
      <c r="F194" t="s">
        <v>407</v>
      </c>
      <c r="G194" t="s">
        <v>741</v>
      </c>
    </row>
    <row r="195" spans="1:9" x14ac:dyDescent="0.3">
      <c r="A195" t="s">
        <v>742</v>
      </c>
      <c r="B195" s="4" t="s">
        <v>743</v>
      </c>
      <c r="C195" t="s">
        <v>279</v>
      </c>
      <c r="D195" t="s">
        <v>479</v>
      </c>
      <c r="E195">
        <v>0.56000000000000005</v>
      </c>
      <c r="F195" t="s">
        <v>703</v>
      </c>
      <c r="G195" t="s">
        <v>744</v>
      </c>
      <c r="H195" s="4" t="s">
        <v>705</v>
      </c>
      <c r="I195" s="4" t="s">
        <v>745</v>
      </c>
    </row>
    <row r="196" spans="1:9" x14ac:dyDescent="0.3">
      <c r="A196" t="s">
        <v>746</v>
      </c>
      <c r="B196" s="4" t="s">
        <v>747</v>
      </c>
      <c r="C196" t="s">
        <v>748</v>
      </c>
      <c r="D196" t="s">
        <v>220</v>
      </c>
      <c r="E196">
        <v>0.56000000000000005</v>
      </c>
      <c r="F196" t="s">
        <v>686</v>
      </c>
      <c r="G196" t="s">
        <v>749</v>
      </c>
      <c r="H196" s="4" t="s">
        <v>687</v>
      </c>
      <c r="I196" s="4" t="s">
        <v>750</v>
      </c>
    </row>
    <row r="197" spans="1:9" x14ac:dyDescent="0.3">
      <c r="A197" t="s">
        <v>751</v>
      </c>
      <c r="B197" s="4" t="s">
        <v>752</v>
      </c>
      <c r="C197" t="s">
        <v>310</v>
      </c>
      <c r="D197" t="s">
        <v>479</v>
      </c>
      <c r="E197">
        <v>0.56000000000000005</v>
      </c>
      <c r="F197" t="s">
        <v>270</v>
      </c>
      <c r="G197" t="s">
        <v>700</v>
      </c>
      <c r="H197" s="4" t="s">
        <v>272</v>
      </c>
      <c r="I197" s="4" t="s">
        <v>731</v>
      </c>
    </row>
    <row r="198" spans="1:9" x14ac:dyDescent="0.3">
      <c r="A198" t="s">
        <v>753</v>
      </c>
      <c r="B198" s="4" t="s">
        <v>754</v>
      </c>
      <c r="C198" t="s">
        <v>520</v>
      </c>
      <c r="D198" t="s">
        <v>261</v>
      </c>
      <c r="E198">
        <v>0.56000000000000005</v>
      </c>
      <c r="F198" t="s">
        <v>644</v>
      </c>
      <c r="G198" t="s">
        <v>660</v>
      </c>
      <c r="H198" s="4" t="s">
        <v>649</v>
      </c>
      <c r="I198" s="4" t="s">
        <v>661</v>
      </c>
    </row>
    <row r="199" spans="1:9" x14ac:dyDescent="0.3">
      <c r="A199" t="s">
        <v>755</v>
      </c>
      <c r="B199" s="4" t="s">
        <v>756</v>
      </c>
      <c r="C199" t="s">
        <v>206</v>
      </c>
      <c r="D199" t="s">
        <v>261</v>
      </c>
      <c r="E199">
        <v>0.56000000000000005</v>
      </c>
      <c r="F199" t="s">
        <v>562</v>
      </c>
      <c r="G199" t="s">
        <v>741</v>
      </c>
      <c r="H199" s="4" t="s">
        <v>563</v>
      </c>
      <c r="I199" s="4" t="s">
        <v>757</v>
      </c>
    </row>
    <row r="200" spans="1:9" x14ac:dyDescent="0.3">
      <c r="A200" t="s">
        <v>758</v>
      </c>
      <c r="B200" s="4" t="s">
        <v>759</v>
      </c>
      <c r="C200" t="s">
        <v>760</v>
      </c>
      <c r="D200" t="s">
        <v>479</v>
      </c>
      <c r="E200">
        <v>0.56000000000000005</v>
      </c>
      <c r="F200" t="s">
        <v>480</v>
      </c>
      <c r="G200" t="s">
        <v>628</v>
      </c>
      <c r="H200" s="4" t="s">
        <v>481</v>
      </c>
      <c r="I200" s="4" t="s">
        <v>630</v>
      </c>
    </row>
    <row r="201" spans="1:9" x14ac:dyDescent="0.3">
      <c r="A201" t="s">
        <v>761</v>
      </c>
      <c r="B201" s="4" t="s">
        <v>762</v>
      </c>
      <c r="C201" t="s">
        <v>220</v>
      </c>
      <c r="D201" t="s">
        <v>220</v>
      </c>
      <c r="E201">
        <v>0.56000000000000005</v>
      </c>
      <c r="F201" t="s">
        <v>562</v>
      </c>
      <c r="G201" t="s">
        <v>763</v>
      </c>
      <c r="H201" s="4" t="s">
        <v>563</v>
      </c>
      <c r="I201" s="4" t="s">
        <v>764</v>
      </c>
    </row>
    <row r="202" spans="1:9" x14ac:dyDescent="0.3">
      <c r="A202" t="s">
        <v>765</v>
      </c>
      <c r="B202" s="4" t="s">
        <v>766</v>
      </c>
      <c r="C202" t="s">
        <v>490</v>
      </c>
      <c r="D202" t="s">
        <v>261</v>
      </c>
      <c r="E202">
        <v>0.56000000000000005</v>
      </c>
      <c r="F202" t="s">
        <v>702</v>
      </c>
      <c r="G202" t="s">
        <v>714</v>
      </c>
      <c r="H202" s="4" t="s">
        <v>704</v>
      </c>
      <c r="I202" s="4" t="s">
        <v>715</v>
      </c>
    </row>
    <row r="203" spans="1:9" x14ac:dyDescent="0.3">
      <c r="A203" t="s">
        <v>767</v>
      </c>
      <c r="B203" s="4" t="s">
        <v>768</v>
      </c>
      <c r="C203" t="s">
        <v>220</v>
      </c>
      <c r="D203" t="s">
        <v>254</v>
      </c>
      <c r="E203">
        <v>0.56000000000000005</v>
      </c>
      <c r="F203" t="s">
        <v>700</v>
      </c>
      <c r="G203" t="s">
        <v>769</v>
      </c>
      <c r="H203" s="4" t="s">
        <v>731</v>
      </c>
      <c r="I203" s="4" t="s">
        <v>770</v>
      </c>
    </row>
    <row r="204" spans="1:9" x14ac:dyDescent="0.3">
      <c r="A204" t="s">
        <v>771</v>
      </c>
      <c r="B204" s="4" t="s">
        <v>772</v>
      </c>
      <c r="C204" t="s">
        <v>427</v>
      </c>
      <c r="D204" t="s">
        <v>261</v>
      </c>
      <c r="E204">
        <v>0.56000000000000005</v>
      </c>
      <c r="F204" t="s">
        <v>535</v>
      </c>
      <c r="G204" t="s">
        <v>773</v>
      </c>
      <c r="H204" s="4" t="s">
        <v>536</v>
      </c>
      <c r="I204" s="4" t="s">
        <v>774</v>
      </c>
    </row>
    <row r="205" spans="1:9" x14ac:dyDescent="0.3">
      <c r="A205" t="s">
        <v>775</v>
      </c>
      <c r="B205" s="4" t="s">
        <v>776</v>
      </c>
      <c r="C205" t="s">
        <v>760</v>
      </c>
      <c r="D205" t="s">
        <v>220</v>
      </c>
      <c r="E205">
        <v>0.56000000000000005</v>
      </c>
      <c r="F205" t="s">
        <v>521</v>
      </c>
      <c r="G205" t="s">
        <v>615</v>
      </c>
      <c r="H205" s="4" t="s">
        <v>522</v>
      </c>
      <c r="I205" s="4" t="s">
        <v>616</v>
      </c>
    </row>
    <row r="206" spans="1:9" x14ac:dyDescent="0.3">
      <c r="A206" t="s">
        <v>777</v>
      </c>
      <c r="B206" s="4" t="s">
        <v>762</v>
      </c>
      <c r="C206" t="s">
        <v>220</v>
      </c>
      <c r="D206" t="s">
        <v>220</v>
      </c>
      <c r="E206">
        <v>0.56000000000000005</v>
      </c>
      <c r="F206" t="s">
        <v>562</v>
      </c>
      <c r="G206" t="s">
        <v>763</v>
      </c>
      <c r="H206" s="4" t="s">
        <v>563</v>
      </c>
      <c r="I206" s="4" t="s">
        <v>764</v>
      </c>
    </row>
    <row r="207" spans="1:9" x14ac:dyDescent="0.3">
      <c r="A207" t="s">
        <v>778</v>
      </c>
      <c r="B207" s="4" t="s">
        <v>779</v>
      </c>
      <c r="C207" t="s">
        <v>534</v>
      </c>
      <c r="D207" t="s">
        <v>261</v>
      </c>
      <c r="E207">
        <v>0.56000000000000005</v>
      </c>
      <c r="F207" t="s">
        <v>719</v>
      </c>
      <c r="G207" t="s">
        <v>275</v>
      </c>
      <c r="H207" s="4" t="s">
        <v>720</v>
      </c>
      <c r="I207" s="4" t="s">
        <v>276</v>
      </c>
    </row>
    <row r="208" spans="1:9" x14ac:dyDescent="0.3">
      <c r="A208" t="s">
        <v>780</v>
      </c>
      <c r="B208" s="4" t="s">
        <v>781</v>
      </c>
      <c r="C208" t="s">
        <v>419</v>
      </c>
      <c r="D208" t="s">
        <v>220</v>
      </c>
      <c r="E208">
        <v>0.56000000000000005</v>
      </c>
      <c r="F208" t="s">
        <v>476</v>
      </c>
      <c r="G208" t="s">
        <v>567</v>
      </c>
      <c r="H208" s="4" t="s">
        <v>162</v>
      </c>
      <c r="I208" s="4" t="s">
        <v>568</v>
      </c>
    </row>
    <row r="209" spans="1:9" x14ac:dyDescent="0.3">
      <c r="A209" t="s">
        <v>782</v>
      </c>
      <c r="B209" s="4" t="s">
        <v>783</v>
      </c>
      <c r="C209" t="s">
        <v>321</v>
      </c>
      <c r="D209" t="s">
        <v>220</v>
      </c>
      <c r="E209">
        <v>0.56000000000000005</v>
      </c>
      <c r="F209" t="s">
        <v>707</v>
      </c>
      <c r="G209" t="s">
        <v>388</v>
      </c>
      <c r="H209" s="4" t="s">
        <v>708</v>
      </c>
      <c r="I209" s="4" t="s">
        <v>564</v>
      </c>
    </row>
    <row r="210" spans="1:9" x14ac:dyDescent="0.3">
      <c r="A210" t="s">
        <v>784</v>
      </c>
      <c r="B210" s="4" t="s">
        <v>785</v>
      </c>
      <c r="C210" t="s">
        <v>321</v>
      </c>
      <c r="D210" t="s">
        <v>220</v>
      </c>
      <c r="E210">
        <v>0.56000000000000005</v>
      </c>
      <c r="F210" t="s">
        <v>707</v>
      </c>
      <c r="G210" t="s">
        <v>700</v>
      </c>
      <c r="H210" s="4" t="s">
        <v>708</v>
      </c>
      <c r="I210" s="4" t="s">
        <v>731</v>
      </c>
    </row>
    <row r="211" spans="1:9" x14ac:dyDescent="0.3">
      <c r="A211" t="s">
        <v>786</v>
      </c>
      <c r="B211" s="4" t="s">
        <v>787</v>
      </c>
      <c r="C211" t="s">
        <v>390</v>
      </c>
      <c r="D211" t="s">
        <v>220</v>
      </c>
      <c r="E211">
        <v>0.56000000000000005</v>
      </c>
      <c r="F211" t="s">
        <v>594</v>
      </c>
      <c r="G211" t="s">
        <v>467</v>
      </c>
      <c r="H211" s="4" t="s">
        <v>595</v>
      </c>
      <c r="I211" s="4" t="s">
        <v>468</v>
      </c>
    </row>
    <row r="212" spans="1:9" x14ac:dyDescent="0.3">
      <c r="A212" t="s">
        <v>788</v>
      </c>
      <c r="B212" s="4" t="s">
        <v>789</v>
      </c>
      <c r="C212" t="s">
        <v>760</v>
      </c>
      <c r="D212" t="s">
        <v>479</v>
      </c>
      <c r="E212">
        <v>0.56000000000000005</v>
      </c>
      <c r="F212" t="s">
        <v>480</v>
      </c>
      <c r="G212" t="s">
        <v>628</v>
      </c>
      <c r="H212" s="4" t="s">
        <v>481</v>
      </c>
      <c r="I212" s="4" t="s">
        <v>630</v>
      </c>
    </row>
    <row r="213" spans="1:9" x14ac:dyDescent="0.3">
      <c r="A213" t="s">
        <v>790</v>
      </c>
      <c r="B213" s="4" t="s">
        <v>791</v>
      </c>
      <c r="C213" t="s">
        <v>438</v>
      </c>
      <c r="D213" t="s">
        <v>220</v>
      </c>
      <c r="E213">
        <v>0.56000000000000005</v>
      </c>
      <c r="F213" t="s">
        <v>700</v>
      </c>
      <c r="G213" t="s">
        <v>741</v>
      </c>
      <c r="H213" s="4" t="s">
        <v>731</v>
      </c>
      <c r="I213" s="4" t="s">
        <v>757</v>
      </c>
    </row>
    <row r="214" spans="1:9" x14ac:dyDescent="0.3">
      <c r="A214" t="s">
        <v>792</v>
      </c>
      <c r="B214" s="4" t="s">
        <v>793</v>
      </c>
      <c r="C214" t="s">
        <v>220</v>
      </c>
      <c r="D214" t="s">
        <v>254</v>
      </c>
      <c r="E214">
        <v>0.56000000000000005</v>
      </c>
      <c r="F214" t="s">
        <v>700</v>
      </c>
      <c r="G214" t="s">
        <v>769</v>
      </c>
      <c r="H214" s="4" t="s">
        <v>731</v>
      </c>
      <c r="I214" s="4" t="s">
        <v>770</v>
      </c>
    </row>
    <row r="215" spans="1:9" x14ac:dyDescent="0.3">
      <c r="A215" t="s">
        <v>794</v>
      </c>
      <c r="B215" s="4" t="s">
        <v>795</v>
      </c>
      <c r="C215" t="s">
        <v>484</v>
      </c>
      <c r="D215" t="s">
        <v>261</v>
      </c>
      <c r="E215">
        <v>0.56000000000000005</v>
      </c>
      <c r="F215" t="s">
        <v>710</v>
      </c>
      <c r="G215" t="s">
        <v>796</v>
      </c>
      <c r="H215" s="4" t="s">
        <v>711</v>
      </c>
      <c r="I215" s="4" t="s">
        <v>797</v>
      </c>
    </row>
    <row r="216" spans="1:9" x14ac:dyDescent="0.3">
      <c r="A216" t="s">
        <v>908</v>
      </c>
      <c r="B216" s="4" t="s">
        <v>912</v>
      </c>
      <c r="C216" t="s">
        <v>505</v>
      </c>
      <c r="D216" t="s">
        <v>540</v>
      </c>
      <c r="E216">
        <v>0</v>
      </c>
      <c r="I216" s="4" t="s">
        <v>918</v>
      </c>
    </row>
    <row r="217" spans="1:9" x14ac:dyDescent="0.3">
      <c r="A217" t="s">
        <v>909</v>
      </c>
      <c r="B217" s="4" t="s">
        <v>913</v>
      </c>
      <c r="C217" t="s">
        <v>505</v>
      </c>
      <c r="D217" t="s">
        <v>540</v>
      </c>
      <c r="E217">
        <v>0</v>
      </c>
      <c r="I217" s="4" t="s">
        <v>918</v>
      </c>
    </row>
    <row r="218" spans="1:9" x14ac:dyDescent="0.3">
      <c r="A218" t="s">
        <v>798</v>
      </c>
      <c r="B218" s="4" t="s">
        <v>799</v>
      </c>
      <c r="C218" t="s">
        <v>736</v>
      </c>
      <c r="D218" t="s">
        <v>210</v>
      </c>
      <c r="E218">
        <v>0.56000000000000005</v>
      </c>
      <c r="F218" t="s">
        <v>407</v>
      </c>
      <c r="G218" t="s">
        <v>364</v>
      </c>
      <c r="H218" s="4" t="s">
        <v>408</v>
      </c>
      <c r="I218" s="4" t="s">
        <v>365</v>
      </c>
    </row>
    <row r="219" spans="1:9" x14ac:dyDescent="0.3">
      <c r="A219" t="s">
        <v>800</v>
      </c>
      <c r="B219" s="4" t="s">
        <v>801</v>
      </c>
      <c r="C219" t="s">
        <v>438</v>
      </c>
      <c r="D219" t="s">
        <v>185</v>
      </c>
      <c r="E219">
        <v>0</v>
      </c>
      <c r="G219" t="s">
        <v>741</v>
      </c>
      <c r="I219" s="4" t="s">
        <v>757</v>
      </c>
    </row>
    <row r="220" spans="1:9" x14ac:dyDescent="0.3">
      <c r="A220" t="s">
        <v>802</v>
      </c>
      <c r="C220" t="s">
        <v>310</v>
      </c>
      <c r="D220" t="s">
        <v>559</v>
      </c>
      <c r="E220">
        <v>3.38</v>
      </c>
      <c r="F220" t="s">
        <v>392</v>
      </c>
      <c r="G220" t="s">
        <v>803</v>
      </c>
    </row>
    <row r="221" spans="1:9" x14ac:dyDescent="0.3">
      <c r="A221" t="s">
        <v>804</v>
      </c>
      <c r="B221" s="4" t="s">
        <v>805</v>
      </c>
      <c r="C221" t="s">
        <v>310</v>
      </c>
      <c r="D221" t="s">
        <v>559</v>
      </c>
      <c r="E221">
        <v>0.56000000000000005</v>
      </c>
      <c r="F221" t="s">
        <v>392</v>
      </c>
      <c r="G221" t="s">
        <v>803</v>
      </c>
      <c r="H221" s="4" t="s">
        <v>457</v>
      </c>
      <c r="I221" s="4" t="s">
        <v>806</v>
      </c>
    </row>
    <row r="222" spans="1:9" x14ac:dyDescent="0.3">
      <c r="A222" t="s">
        <v>807</v>
      </c>
      <c r="B222" s="4" t="s">
        <v>808</v>
      </c>
      <c r="C222" t="s">
        <v>310</v>
      </c>
      <c r="D222" t="s">
        <v>559</v>
      </c>
      <c r="E222">
        <v>0.56000000000000005</v>
      </c>
      <c r="F222" t="s">
        <v>392</v>
      </c>
      <c r="G222" t="s">
        <v>803</v>
      </c>
      <c r="H222" s="4" t="s">
        <v>457</v>
      </c>
      <c r="I222" s="4" t="s">
        <v>806</v>
      </c>
    </row>
    <row r="223" spans="1:9" x14ac:dyDescent="0.3">
      <c r="A223" t="s">
        <v>809</v>
      </c>
      <c r="B223" s="4" t="s">
        <v>810</v>
      </c>
      <c r="C223" t="s">
        <v>310</v>
      </c>
      <c r="D223" t="s">
        <v>559</v>
      </c>
      <c r="E223">
        <v>0.56000000000000005</v>
      </c>
      <c r="F223" t="s">
        <v>392</v>
      </c>
      <c r="G223" t="s">
        <v>803</v>
      </c>
      <c r="H223" s="4" t="s">
        <v>457</v>
      </c>
      <c r="I223" s="4" t="s">
        <v>806</v>
      </c>
    </row>
    <row r="224" spans="1:9" x14ac:dyDescent="0.3">
      <c r="A224" t="s">
        <v>811</v>
      </c>
      <c r="B224" s="4" t="s">
        <v>812</v>
      </c>
      <c r="C224" t="s">
        <v>310</v>
      </c>
      <c r="D224" t="s">
        <v>559</v>
      </c>
      <c r="E224">
        <v>0.56000000000000005</v>
      </c>
      <c r="F224" t="s">
        <v>392</v>
      </c>
      <c r="G224" t="s">
        <v>803</v>
      </c>
      <c r="H224" s="4" t="s">
        <v>457</v>
      </c>
      <c r="I224" s="4" t="s">
        <v>806</v>
      </c>
    </row>
    <row r="225" spans="1:9" x14ac:dyDescent="0.3">
      <c r="A225" t="s">
        <v>813</v>
      </c>
      <c r="B225" s="4" t="s">
        <v>814</v>
      </c>
      <c r="C225" t="s">
        <v>310</v>
      </c>
      <c r="D225" t="s">
        <v>559</v>
      </c>
      <c r="E225">
        <v>0.56000000000000005</v>
      </c>
      <c r="F225" t="s">
        <v>392</v>
      </c>
      <c r="G225" t="s">
        <v>803</v>
      </c>
      <c r="H225" s="4" t="s">
        <v>457</v>
      </c>
      <c r="I225" s="4" t="s">
        <v>806</v>
      </c>
    </row>
    <row r="226" spans="1:9" x14ac:dyDescent="0.3">
      <c r="A226" t="s">
        <v>815</v>
      </c>
      <c r="B226" s="4" t="s">
        <v>816</v>
      </c>
      <c r="C226" t="s">
        <v>310</v>
      </c>
      <c r="D226" t="s">
        <v>559</v>
      </c>
      <c r="E226">
        <v>0.56000000000000005</v>
      </c>
      <c r="F226" t="s">
        <v>392</v>
      </c>
      <c r="G226" t="s">
        <v>803</v>
      </c>
      <c r="H226" s="4" t="s">
        <v>457</v>
      </c>
      <c r="I226" s="4" t="s">
        <v>806</v>
      </c>
    </row>
    <row r="227" spans="1:9" x14ac:dyDescent="0.3">
      <c r="A227" t="s">
        <v>817</v>
      </c>
      <c r="C227" t="s">
        <v>438</v>
      </c>
      <c r="D227" t="s">
        <v>740</v>
      </c>
      <c r="E227">
        <v>5.63</v>
      </c>
      <c r="F227" t="s">
        <v>364</v>
      </c>
      <c r="G227" t="s">
        <v>698</v>
      </c>
    </row>
    <row r="228" spans="1:9" x14ac:dyDescent="0.3">
      <c r="A228" t="s">
        <v>818</v>
      </c>
      <c r="B228" s="4" t="s">
        <v>819</v>
      </c>
      <c r="C228" t="s">
        <v>438</v>
      </c>
      <c r="D228" t="s">
        <v>185</v>
      </c>
      <c r="E228">
        <v>0</v>
      </c>
      <c r="G228" t="s">
        <v>698</v>
      </c>
      <c r="I228" s="4" t="s">
        <v>820</v>
      </c>
    </row>
    <row r="229" spans="1:9" x14ac:dyDescent="0.3">
      <c r="A229" t="s">
        <v>821</v>
      </c>
      <c r="B229" s="4" t="s">
        <v>822</v>
      </c>
      <c r="C229" t="s">
        <v>479</v>
      </c>
      <c r="D229" t="s">
        <v>210</v>
      </c>
      <c r="E229">
        <v>0.28000000000000003</v>
      </c>
      <c r="F229" t="s">
        <v>744</v>
      </c>
      <c r="G229" t="s">
        <v>463</v>
      </c>
      <c r="H229" s="4" t="s">
        <v>745</v>
      </c>
      <c r="I229" s="4" t="s">
        <v>553</v>
      </c>
    </row>
    <row r="230" spans="1:9" x14ac:dyDescent="0.3">
      <c r="A230" t="s">
        <v>823</v>
      </c>
      <c r="B230" s="4" t="s">
        <v>824</v>
      </c>
      <c r="C230" t="s">
        <v>294</v>
      </c>
      <c r="D230" t="s">
        <v>210</v>
      </c>
      <c r="E230">
        <v>0.28000000000000003</v>
      </c>
      <c r="F230" t="s">
        <v>749</v>
      </c>
      <c r="G230" t="s">
        <v>825</v>
      </c>
      <c r="H230" s="4" t="s">
        <v>750</v>
      </c>
      <c r="I230" s="4" t="s">
        <v>826</v>
      </c>
    </row>
    <row r="231" spans="1:9" x14ac:dyDescent="0.3">
      <c r="A231" t="s">
        <v>827</v>
      </c>
      <c r="B231" s="4" t="s">
        <v>828</v>
      </c>
      <c r="C231" t="s">
        <v>261</v>
      </c>
      <c r="D231" t="s">
        <v>210</v>
      </c>
      <c r="E231">
        <v>0.28000000000000003</v>
      </c>
      <c r="F231" t="s">
        <v>700</v>
      </c>
      <c r="G231" t="s">
        <v>803</v>
      </c>
      <c r="H231" s="4" t="s">
        <v>731</v>
      </c>
      <c r="I231" s="4" t="s">
        <v>806</v>
      </c>
    </row>
    <row r="232" spans="1:9" x14ac:dyDescent="0.3">
      <c r="A232" t="s">
        <v>829</v>
      </c>
      <c r="B232" s="4" t="s">
        <v>830</v>
      </c>
      <c r="C232" t="s">
        <v>508</v>
      </c>
      <c r="D232" t="s">
        <v>210</v>
      </c>
      <c r="E232">
        <v>0.28000000000000003</v>
      </c>
      <c r="F232" t="s">
        <v>703</v>
      </c>
      <c r="G232" t="s">
        <v>703</v>
      </c>
      <c r="H232" s="4" t="s">
        <v>705</v>
      </c>
      <c r="I232" s="4" t="s">
        <v>705</v>
      </c>
    </row>
    <row r="233" spans="1:9" x14ac:dyDescent="0.3">
      <c r="A233" t="s">
        <v>831</v>
      </c>
      <c r="B233" s="4" t="s">
        <v>832</v>
      </c>
      <c r="C233" t="s">
        <v>438</v>
      </c>
      <c r="D233" t="s">
        <v>210</v>
      </c>
      <c r="E233">
        <v>0.28000000000000003</v>
      </c>
      <c r="F233" t="s">
        <v>698</v>
      </c>
      <c r="G233" t="s">
        <v>698</v>
      </c>
      <c r="H233" s="4" t="s">
        <v>820</v>
      </c>
      <c r="I233" s="4" t="s">
        <v>820</v>
      </c>
    </row>
    <row r="234" spans="1:9" x14ac:dyDescent="0.3">
      <c r="A234" t="s">
        <v>833</v>
      </c>
      <c r="B234" s="4" t="s">
        <v>834</v>
      </c>
      <c r="C234" t="s">
        <v>520</v>
      </c>
      <c r="D234" t="s">
        <v>210</v>
      </c>
      <c r="E234">
        <v>0.28000000000000003</v>
      </c>
      <c r="F234" t="s">
        <v>628</v>
      </c>
      <c r="G234" t="s">
        <v>835</v>
      </c>
      <c r="H234" s="4" t="s">
        <v>630</v>
      </c>
      <c r="I234" s="4" t="s">
        <v>836</v>
      </c>
    </row>
    <row r="235" spans="1:9" x14ac:dyDescent="0.3">
      <c r="A235" t="s">
        <v>837</v>
      </c>
      <c r="B235" s="4" t="s">
        <v>838</v>
      </c>
      <c r="C235" t="s">
        <v>220</v>
      </c>
      <c r="D235" t="s">
        <v>210</v>
      </c>
      <c r="E235">
        <v>0.28000000000000003</v>
      </c>
      <c r="F235" t="s">
        <v>763</v>
      </c>
      <c r="G235" t="s">
        <v>769</v>
      </c>
      <c r="H235" s="4" t="s">
        <v>764</v>
      </c>
      <c r="I235" s="4" t="s">
        <v>770</v>
      </c>
    </row>
    <row r="236" spans="1:9" x14ac:dyDescent="0.3">
      <c r="A236" t="s">
        <v>839</v>
      </c>
      <c r="B236" s="4" t="s">
        <v>840</v>
      </c>
      <c r="C236" t="s">
        <v>626</v>
      </c>
      <c r="D236" t="s">
        <v>210</v>
      </c>
      <c r="E236">
        <v>0.28000000000000003</v>
      </c>
      <c r="F236" t="s">
        <v>223</v>
      </c>
      <c r="G236" t="s">
        <v>223</v>
      </c>
      <c r="H236" s="4" t="s">
        <v>277</v>
      </c>
      <c r="I236" s="4" t="s">
        <v>277</v>
      </c>
    </row>
    <row r="237" spans="1:9" x14ac:dyDescent="0.3">
      <c r="A237" t="s">
        <v>841</v>
      </c>
      <c r="B237" s="4" t="s">
        <v>842</v>
      </c>
      <c r="C237" t="s">
        <v>534</v>
      </c>
      <c r="D237" t="s">
        <v>210</v>
      </c>
      <c r="E237">
        <v>0.28000000000000003</v>
      </c>
      <c r="F237" t="s">
        <v>773</v>
      </c>
      <c r="G237" t="s">
        <v>710</v>
      </c>
      <c r="H237" s="4" t="s">
        <v>774</v>
      </c>
      <c r="I237" s="4" t="s">
        <v>711</v>
      </c>
    </row>
    <row r="238" spans="1:9" x14ac:dyDescent="0.3">
      <c r="A238" t="s">
        <v>843</v>
      </c>
      <c r="B238" s="4" t="s">
        <v>844</v>
      </c>
      <c r="C238" t="s">
        <v>520</v>
      </c>
      <c r="D238" t="s">
        <v>210</v>
      </c>
      <c r="E238">
        <v>0.28000000000000003</v>
      </c>
      <c r="F238" t="s">
        <v>615</v>
      </c>
      <c r="G238" t="s">
        <v>628</v>
      </c>
      <c r="H238" s="4" t="s">
        <v>616</v>
      </c>
      <c r="I238" s="4" t="s">
        <v>630</v>
      </c>
    </row>
    <row r="239" spans="1:9" x14ac:dyDescent="0.3">
      <c r="A239" t="s">
        <v>845</v>
      </c>
      <c r="B239" s="4" t="s">
        <v>838</v>
      </c>
      <c r="C239" t="s">
        <v>220</v>
      </c>
      <c r="D239" t="s">
        <v>210</v>
      </c>
      <c r="E239">
        <v>0.28000000000000003</v>
      </c>
      <c r="F239" t="s">
        <v>763</v>
      </c>
      <c r="G239" t="s">
        <v>769</v>
      </c>
      <c r="H239" s="4" t="s">
        <v>764</v>
      </c>
      <c r="I239" s="4" t="s">
        <v>770</v>
      </c>
    </row>
    <row r="240" spans="1:9" x14ac:dyDescent="0.3">
      <c r="A240" t="s">
        <v>846</v>
      </c>
      <c r="B240" s="4" t="s">
        <v>847</v>
      </c>
      <c r="C240" t="s">
        <v>360</v>
      </c>
      <c r="D240" t="s">
        <v>210</v>
      </c>
      <c r="E240">
        <v>0.28000000000000003</v>
      </c>
      <c r="F240" t="s">
        <v>275</v>
      </c>
      <c r="G240" t="s">
        <v>848</v>
      </c>
      <c r="H240" s="4" t="s">
        <v>276</v>
      </c>
      <c r="I240" s="4" t="s">
        <v>849</v>
      </c>
    </row>
    <row r="241" spans="1:9" x14ac:dyDescent="0.3">
      <c r="A241" t="s">
        <v>850</v>
      </c>
      <c r="B241" s="4" t="s">
        <v>851</v>
      </c>
      <c r="C241" t="s">
        <v>474</v>
      </c>
      <c r="D241" t="s">
        <v>210</v>
      </c>
      <c r="E241">
        <v>0.28000000000000003</v>
      </c>
      <c r="F241" t="s">
        <v>567</v>
      </c>
      <c r="G241" t="s">
        <v>627</v>
      </c>
      <c r="H241" s="4" t="s">
        <v>568</v>
      </c>
      <c r="I241" s="4" t="s">
        <v>629</v>
      </c>
    </row>
    <row r="242" spans="1:9" x14ac:dyDescent="0.3">
      <c r="A242" t="s">
        <v>852</v>
      </c>
      <c r="B242" s="4" t="s">
        <v>853</v>
      </c>
      <c r="C242" t="s">
        <v>310</v>
      </c>
      <c r="D242" t="s">
        <v>210</v>
      </c>
      <c r="E242">
        <v>0.28000000000000003</v>
      </c>
      <c r="F242" t="s">
        <v>700</v>
      </c>
      <c r="G242" t="s">
        <v>700</v>
      </c>
      <c r="H242" s="4" t="s">
        <v>731</v>
      </c>
      <c r="I242" s="4" t="s">
        <v>731</v>
      </c>
    </row>
    <row r="243" spans="1:9" x14ac:dyDescent="0.3">
      <c r="A243" t="s">
        <v>854</v>
      </c>
      <c r="B243" s="4" t="s">
        <v>855</v>
      </c>
      <c r="C243" t="s">
        <v>310</v>
      </c>
      <c r="D243" t="s">
        <v>210</v>
      </c>
      <c r="E243">
        <v>0.28000000000000003</v>
      </c>
      <c r="F243" t="s">
        <v>700</v>
      </c>
      <c r="G243" t="s">
        <v>803</v>
      </c>
      <c r="H243" s="4" t="s">
        <v>731</v>
      </c>
      <c r="I243" s="4" t="s">
        <v>806</v>
      </c>
    </row>
    <row r="244" spans="1:9" x14ac:dyDescent="0.3">
      <c r="A244" t="s">
        <v>856</v>
      </c>
      <c r="B244" s="4" t="s">
        <v>857</v>
      </c>
      <c r="C244" t="s">
        <v>858</v>
      </c>
      <c r="D244" t="s">
        <v>210</v>
      </c>
      <c r="E244">
        <v>0.28000000000000003</v>
      </c>
      <c r="F244" t="s">
        <v>467</v>
      </c>
      <c r="G244" t="s">
        <v>611</v>
      </c>
      <c r="H244" s="4" t="s">
        <v>468</v>
      </c>
      <c r="I244" s="4" t="s">
        <v>612</v>
      </c>
    </row>
    <row r="245" spans="1:9" x14ac:dyDescent="0.3">
      <c r="A245" t="s">
        <v>859</v>
      </c>
      <c r="B245" s="4" t="s">
        <v>860</v>
      </c>
      <c r="C245" t="s">
        <v>520</v>
      </c>
      <c r="D245" t="s">
        <v>210</v>
      </c>
      <c r="E245">
        <v>0.28000000000000003</v>
      </c>
      <c r="F245" t="s">
        <v>628</v>
      </c>
      <c r="G245" t="s">
        <v>835</v>
      </c>
      <c r="H245" s="4" t="s">
        <v>630</v>
      </c>
      <c r="I245" s="4" t="s">
        <v>836</v>
      </c>
    </row>
    <row r="246" spans="1:9" x14ac:dyDescent="0.3">
      <c r="A246" t="s">
        <v>861</v>
      </c>
      <c r="B246" s="4" t="s">
        <v>862</v>
      </c>
      <c r="C246" t="s">
        <v>438</v>
      </c>
      <c r="D246" t="s">
        <v>210</v>
      </c>
      <c r="E246">
        <v>0.28000000000000003</v>
      </c>
      <c r="F246" t="s">
        <v>698</v>
      </c>
      <c r="G246" t="s">
        <v>698</v>
      </c>
      <c r="H246" s="4" t="s">
        <v>820</v>
      </c>
      <c r="I246" s="4" t="s">
        <v>820</v>
      </c>
    </row>
    <row r="247" spans="1:9" x14ac:dyDescent="0.3">
      <c r="A247" t="s">
        <v>863</v>
      </c>
      <c r="B247" s="4" t="s">
        <v>864</v>
      </c>
      <c r="C247" t="s">
        <v>279</v>
      </c>
      <c r="D247" t="s">
        <v>210</v>
      </c>
      <c r="E247">
        <v>0.28000000000000003</v>
      </c>
      <c r="F247" t="s">
        <v>686</v>
      </c>
      <c r="G247" t="s">
        <v>686</v>
      </c>
      <c r="H247" s="4" t="s">
        <v>687</v>
      </c>
      <c r="I247" s="4" t="s">
        <v>687</v>
      </c>
    </row>
    <row r="248" spans="1:9" x14ac:dyDescent="0.3">
      <c r="A248" t="s">
        <v>914</v>
      </c>
      <c r="B248" s="4" t="s">
        <v>915</v>
      </c>
      <c r="C248" t="s">
        <v>505</v>
      </c>
      <c r="D248" t="s">
        <v>210</v>
      </c>
      <c r="E248">
        <v>0</v>
      </c>
    </row>
    <row r="249" spans="1:9" x14ac:dyDescent="0.3">
      <c r="A249" t="s">
        <v>916</v>
      </c>
      <c r="B249" s="4" t="s">
        <v>917</v>
      </c>
      <c r="C249" t="s">
        <v>505</v>
      </c>
      <c r="D249" t="s">
        <v>210</v>
      </c>
      <c r="E249">
        <v>0</v>
      </c>
    </row>
    <row r="250" spans="1:9" x14ac:dyDescent="0.3">
      <c r="A250" t="s">
        <v>865</v>
      </c>
      <c r="B250" s="4" t="s">
        <v>866</v>
      </c>
      <c r="C250" t="s">
        <v>867</v>
      </c>
      <c r="D250" t="s">
        <v>210</v>
      </c>
      <c r="E250">
        <v>0.28000000000000003</v>
      </c>
      <c r="F250" t="s">
        <v>364</v>
      </c>
      <c r="G250" t="s">
        <v>262</v>
      </c>
      <c r="H250" s="4" t="s">
        <v>365</v>
      </c>
      <c r="I250" s="4" t="s">
        <v>264</v>
      </c>
    </row>
    <row r="251" spans="1:9" x14ac:dyDescent="0.3">
      <c r="A251" t="s">
        <v>868</v>
      </c>
      <c r="C251" t="s">
        <v>185</v>
      </c>
      <c r="D251" t="s">
        <v>869</v>
      </c>
      <c r="E251">
        <v>6.27</v>
      </c>
      <c r="F251" t="s">
        <v>240</v>
      </c>
      <c r="G251" t="s">
        <v>188</v>
      </c>
    </row>
    <row r="252" spans="1:9" x14ac:dyDescent="0.3">
      <c r="A252" t="s">
        <v>870</v>
      </c>
      <c r="C252" t="s">
        <v>190</v>
      </c>
      <c r="D252" t="s">
        <v>471</v>
      </c>
      <c r="E252">
        <v>5.35</v>
      </c>
      <c r="F252" t="s">
        <v>240</v>
      </c>
      <c r="G252" t="s">
        <v>463</v>
      </c>
    </row>
    <row r="253" spans="1:9" x14ac:dyDescent="0.3">
      <c r="A253" t="s">
        <v>871</v>
      </c>
      <c r="B253" s="4" t="s">
        <v>872</v>
      </c>
      <c r="C253" t="s">
        <v>190</v>
      </c>
      <c r="D253" t="s">
        <v>659</v>
      </c>
      <c r="E253">
        <v>0.42</v>
      </c>
      <c r="F253" t="s">
        <v>501</v>
      </c>
      <c r="G253" t="s">
        <v>463</v>
      </c>
      <c r="H253" s="4" t="s">
        <v>502</v>
      </c>
      <c r="I253" s="4" t="s">
        <v>553</v>
      </c>
    </row>
    <row r="254" spans="1:9" x14ac:dyDescent="0.3">
      <c r="A254" t="s">
        <v>873</v>
      </c>
      <c r="B254" s="4" t="s">
        <v>874</v>
      </c>
      <c r="C254" t="s">
        <v>190</v>
      </c>
      <c r="D254" t="s">
        <v>659</v>
      </c>
      <c r="E254">
        <v>0.42</v>
      </c>
      <c r="F254" t="s">
        <v>501</v>
      </c>
      <c r="G254" t="s">
        <v>463</v>
      </c>
      <c r="H254" s="4" t="s">
        <v>502</v>
      </c>
      <c r="I254" s="4" t="s">
        <v>553</v>
      </c>
    </row>
    <row r="255" spans="1:9" x14ac:dyDescent="0.3">
      <c r="A255" t="s">
        <v>875</v>
      </c>
      <c r="B255" s="4" t="s">
        <v>876</v>
      </c>
      <c r="C255" t="s">
        <v>190</v>
      </c>
      <c r="D255" t="s">
        <v>659</v>
      </c>
      <c r="E255">
        <v>0.42</v>
      </c>
      <c r="F255" t="s">
        <v>501</v>
      </c>
      <c r="G255" t="s">
        <v>463</v>
      </c>
      <c r="H255" s="4" t="s">
        <v>502</v>
      </c>
      <c r="I255" s="4" t="s">
        <v>553</v>
      </c>
    </row>
    <row r="256" spans="1:9" x14ac:dyDescent="0.3">
      <c r="A256" t="s">
        <v>877</v>
      </c>
      <c r="B256" s="4" t="s">
        <v>878</v>
      </c>
      <c r="C256" t="s">
        <v>220</v>
      </c>
      <c r="D256" t="s">
        <v>659</v>
      </c>
      <c r="E256">
        <v>0.49</v>
      </c>
      <c r="F256" t="s">
        <v>372</v>
      </c>
      <c r="G256" t="s">
        <v>223</v>
      </c>
      <c r="H256" s="4" t="s">
        <v>373</v>
      </c>
      <c r="I256" s="4" t="s">
        <v>277</v>
      </c>
    </row>
    <row r="257" spans="1:9" x14ac:dyDescent="0.3">
      <c r="A257" t="s">
        <v>879</v>
      </c>
      <c r="B257" s="4" t="s">
        <v>880</v>
      </c>
      <c r="C257" t="s">
        <v>185</v>
      </c>
      <c r="D257" t="s">
        <v>499</v>
      </c>
      <c r="E257">
        <v>0.7</v>
      </c>
      <c r="F257" t="s">
        <v>240</v>
      </c>
      <c r="G257" t="s">
        <v>881</v>
      </c>
      <c r="H257" s="4" t="s">
        <v>242</v>
      </c>
      <c r="I257" s="4" t="s">
        <v>882</v>
      </c>
    </row>
    <row r="258" spans="1:9" x14ac:dyDescent="0.3">
      <c r="A258" t="s">
        <v>883</v>
      </c>
      <c r="B258" s="4" t="s">
        <v>884</v>
      </c>
      <c r="C258" t="s">
        <v>220</v>
      </c>
      <c r="D258" t="s">
        <v>659</v>
      </c>
      <c r="E258">
        <v>0.49</v>
      </c>
      <c r="F258" t="s">
        <v>372</v>
      </c>
      <c r="G258" t="s">
        <v>223</v>
      </c>
      <c r="H258" s="4" t="s">
        <v>373</v>
      </c>
      <c r="I258" s="4" t="s">
        <v>277</v>
      </c>
    </row>
    <row r="259" spans="1:9" x14ac:dyDescent="0.3">
      <c r="A259" t="s">
        <v>885</v>
      </c>
      <c r="B259" s="4" t="s">
        <v>886</v>
      </c>
      <c r="C259" t="s">
        <v>185</v>
      </c>
      <c r="D259" t="s">
        <v>540</v>
      </c>
      <c r="E259">
        <v>0.7</v>
      </c>
      <c r="F259" t="s">
        <v>326</v>
      </c>
      <c r="G259" t="s">
        <v>611</v>
      </c>
      <c r="H259" s="4" t="s">
        <v>334</v>
      </c>
      <c r="I259" s="4" t="s">
        <v>612</v>
      </c>
    </row>
    <row r="260" spans="1:9" x14ac:dyDescent="0.3">
      <c r="A260" t="s">
        <v>887</v>
      </c>
      <c r="B260" s="4" t="s">
        <v>888</v>
      </c>
      <c r="C260" t="s">
        <v>220</v>
      </c>
      <c r="D260" t="s">
        <v>659</v>
      </c>
      <c r="E260">
        <v>0.49</v>
      </c>
      <c r="F260" t="s">
        <v>372</v>
      </c>
      <c r="G260" t="s">
        <v>223</v>
      </c>
      <c r="H260" s="4" t="s">
        <v>373</v>
      </c>
      <c r="I260" s="4" t="s">
        <v>277</v>
      </c>
    </row>
    <row r="261" spans="1:9" x14ac:dyDescent="0.3">
      <c r="A261" t="s">
        <v>889</v>
      </c>
      <c r="B261" s="4" t="s">
        <v>890</v>
      </c>
      <c r="C261" t="s">
        <v>220</v>
      </c>
      <c r="D261" t="s">
        <v>659</v>
      </c>
      <c r="E261">
        <v>0.49</v>
      </c>
      <c r="F261" t="s">
        <v>372</v>
      </c>
      <c r="G261" t="s">
        <v>223</v>
      </c>
      <c r="H261" s="4" t="s">
        <v>373</v>
      </c>
      <c r="I261" s="4" t="s">
        <v>277</v>
      </c>
    </row>
    <row r="262" spans="1:9" x14ac:dyDescent="0.3">
      <c r="A262" t="s">
        <v>891</v>
      </c>
      <c r="B262" s="4" t="s">
        <v>892</v>
      </c>
      <c r="C262" t="s">
        <v>185</v>
      </c>
      <c r="D262" t="s">
        <v>220</v>
      </c>
      <c r="E262">
        <v>0.21</v>
      </c>
      <c r="F262" t="s">
        <v>644</v>
      </c>
      <c r="G262" t="s">
        <v>893</v>
      </c>
      <c r="H262" s="4" t="s">
        <v>649</v>
      </c>
      <c r="I262" s="4" t="s">
        <v>894</v>
      </c>
    </row>
    <row r="263" spans="1:9" x14ac:dyDescent="0.3">
      <c r="A263" t="s">
        <v>895</v>
      </c>
      <c r="B263" s="4" t="s">
        <v>896</v>
      </c>
      <c r="C263" t="s">
        <v>220</v>
      </c>
      <c r="D263" t="s">
        <v>659</v>
      </c>
      <c r="E263">
        <v>0.49</v>
      </c>
      <c r="F263" t="s">
        <v>372</v>
      </c>
      <c r="G263" t="s">
        <v>223</v>
      </c>
      <c r="H263" s="4" t="s">
        <v>373</v>
      </c>
      <c r="I263" s="4" t="s">
        <v>277</v>
      </c>
    </row>
    <row r="264" spans="1:9" x14ac:dyDescent="0.3">
      <c r="A264" t="s">
        <v>897</v>
      </c>
      <c r="B264" s="4" t="s">
        <v>898</v>
      </c>
      <c r="C264" t="s">
        <v>190</v>
      </c>
      <c r="D264" t="s">
        <v>185</v>
      </c>
      <c r="E264">
        <v>0</v>
      </c>
      <c r="G264" t="s">
        <v>463</v>
      </c>
      <c r="I264" s="4" t="s">
        <v>553</v>
      </c>
    </row>
    <row r="265" spans="1:9" x14ac:dyDescent="0.3">
      <c r="A265" t="s">
        <v>899</v>
      </c>
      <c r="C265" t="s">
        <v>185</v>
      </c>
      <c r="D265" t="s">
        <v>900</v>
      </c>
      <c r="E265">
        <v>0.92</v>
      </c>
      <c r="F265" t="s">
        <v>700</v>
      </c>
      <c r="G265" t="s">
        <v>188</v>
      </c>
    </row>
    <row r="266" spans="1:9" x14ac:dyDescent="0.3">
      <c r="A266" t="s">
        <v>901</v>
      </c>
      <c r="B266" s="4" t="s">
        <v>902</v>
      </c>
      <c r="C266" t="s">
        <v>185</v>
      </c>
      <c r="D266" t="s">
        <v>210</v>
      </c>
      <c r="E266">
        <v>0.42</v>
      </c>
      <c r="F266" t="s">
        <v>700</v>
      </c>
      <c r="G266" t="s">
        <v>700</v>
      </c>
      <c r="H266" s="4" t="s">
        <v>731</v>
      </c>
      <c r="I266" s="4" t="s">
        <v>731</v>
      </c>
    </row>
    <row r="267" spans="1:9" x14ac:dyDescent="0.3">
      <c r="A267" t="s">
        <v>903</v>
      </c>
      <c r="B267" s="4" t="s">
        <v>904</v>
      </c>
      <c r="C267" t="s">
        <v>185</v>
      </c>
      <c r="D267" t="s">
        <v>195</v>
      </c>
      <c r="E267">
        <v>0.49</v>
      </c>
      <c r="F267" t="s">
        <v>385</v>
      </c>
      <c r="G267" t="s">
        <v>188</v>
      </c>
      <c r="H267" s="4" t="s">
        <v>681</v>
      </c>
      <c r="I267" s="4" t="s">
        <v>905</v>
      </c>
    </row>
  </sheetData>
  <autoFilter ref="A1:I2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14</vt:i4>
      </vt:variant>
    </vt:vector>
  </HeadingPairs>
  <TitlesOfParts>
    <vt:vector size="25" baseType="lpstr">
      <vt:lpstr>data</vt:lpstr>
      <vt:lpstr>Die</vt:lpstr>
      <vt:lpstr>Sheet Die</vt:lpstr>
      <vt:lpstr>Fixture</vt:lpstr>
      <vt:lpstr>Fixture (2)</vt:lpstr>
      <vt:lpstr>Cata</vt:lpstr>
      <vt:lpstr>Sheet1</vt:lpstr>
      <vt:lpstr>Flx</vt:lpstr>
      <vt:lpstr>GPF</vt:lpstr>
      <vt:lpstr>Rear muffler</vt:lpstr>
      <vt:lpstr>Sheet5</vt:lpstr>
      <vt:lpstr>Cata!Print_Area</vt:lpstr>
      <vt:lpstr>Die!Print_Area</vt:lpstr>
      <vt:lpstr>Fixture!Print_Area</vt:lpstr>
      <vt:lpstr>'Fixture (2)'!Print_Area</vt:lpstr>
      <vt:lpstr>Flx!Print_Area</vt:lpstr>
      <vt:lpstr>GPF!Print_Area</vt:lpstr>
      <vt:lpstr>'Rear muffler'!Print_Area</vt:lpstr>
      <vt:lpstr>Cata!Print_Titles</vt:lpstr>
      <vt:lpstr>Die!Print_Titles</vt:lpstr>
      <vt:lpstr>Fixture!Print_Titles</vt:lpstr>
      <vt:lpstr>'Fixture (2)'!Print_Titles</vt:lpstr>
      <vt:lpstr>Flx!Print_Titles</vt:lpstr>
      <vt:lpstr>GPF!Print_Titles</vt:lpstr>
      <vt:lpstr>'Rear muffler'!Print_Titles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2025-10-29T11:42:56Z</dcterms:modified>
</cp:coreProperties>
</file>