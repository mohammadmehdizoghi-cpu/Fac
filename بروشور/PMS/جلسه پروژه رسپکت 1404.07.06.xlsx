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A57C8A2C-A3E2-4B27-9857-36EF78B1D671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data" sheetId="7" r:id="rId1"/>
    <sheet name="Fidelity Elite" sheetId="10" r:id="rId2"/>
    <sheet name="Sheet2" sheetId="12" r:id="rId3"/>
    <sheet name="Sheet1" sheetId="11" r:id="rId4"/>
  </sheets>
  <definedNames>
    <definedName name="_xlnm._FilterDatabase" localSheetId="1" hidden="1">'Fidelity Elite'!$A$16:$AL$31</definedName>
    <definedName name="_xlnm.Print_Area" localSheetId="1">'Fidelity Elite'!$A$1:$J$31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D2" i="7"/>
  <c r="G6" i="7"/>
  <c r="G3" i="7"/>
  <c r="G2" i="7"/>
  <c r="C3" i="7" l="1"/>
  <c r="D3" i="7"/>
  <c r="E3" i="7"/>
  <c r="C7" i="7"/>
  <c r="C6" i="7"/>
  <c r="C5" i="7"/>
  <c r="C4" i="7"/>
  <c r="D7" i="7"/>
  <c r="D6" i="7"/>
  <c r="D5" i="7"/>
  <c r="D4" i="7"/>
  <c r="E7" i="7"/>
  <c r="E6" i="7"/>
  <c r="E5" i="7"/>
  <c r="E4" i="7"/>
  <c r="F7" i="7"/>
  <c r="F6" i="7"/>
  <c r="F5" i="7"/>
  <c r="F4" i="7"/>
  <c r="F3" i="7"/>
  <c r="G7" i="7"/>
  <c r="G5" i="7"/>
  <c r="G4" i="7"/>
  <c r="F2" i="7"/>
  <c r="E2" i="7"/>
  <c r="C2" i="7"/>
  <c r="D10" i="10"/>
  <c r="A2" i="7" l="1"/>
  <c r="A3" i="7"/>
  <c r="A7" i="7"/>
  <c r="A10" i="10"/>
  <c r="B10" i="10" l="1"/>
  <c r="A5" i="7" l="1"/>
  <c r="A6" i="7" l="1"/>
  <c r="A4" i="7"/>
  <c r="A8" i="7" l="1"/>
</calcChain>
</file>

<file path=xl/sharedStrings.xml><?xml version="1.0" encoding="utf-8"?>
<sst xmlns="http://schemas.openxmlformats.org/spreadsheetml/2006/main" count="248" uniqueCount="78">
  <si>
    <t xml:space="preserve">نام نفرات </t>
  </si>
  <si>
    <t>total</t>
  </si>
  <si>
    <t>Total activities</t>
  </si>
  <si>
    <t>Health</t>
  </si>
  <si>
    <t>Delay</t>
  </si>
  <si>
    <t>On time</t>
  </si>
  <si>
    <t>Activities</t>
  </si>
  <si>
    <t>Status</t>
  </si>
  <si>
    <t>Resource Name</t>
  </si>
  <si>
    <t>Planned</t>
  </si>
  <si>
    <t>Actual</t>
  </si>
  <si>
    <t>%complete</t>
  </si>
  <si>
    <t>Revision Date:</t>
  </si>
  <si>
    <t>Form Code::</t>
  </si>
  <si>
    <t># Revision:00</t>
  </si>
  <si>
    <t>Activity Name</t>
  </si>
  <si>
    <t>Project manager</t>
  </si>
  <si>
    <t>Allowed delay</t>
  </si>
  <si>
    <t>In progress</t>
  </si>
  <si>
    <t>% Variance</t>
  </si>
  <si>
    <t xml:space="preserve">% Complete </t>
  </si>
  <si>
    <t>Ahead of schedule</t>
  </si>
  <si>
    <t>W1</t>
  </si>
  <si>
    <t>W2</t>
  </si>
  <si>
    <t>W3</t>
  </si>
  <si>
    <t>Weekly Efficiency</t>
  </si>
  <si>
    <t>Inprogress</t>
  </si>
  <si>
    <t>N/A</t>
  </si>
  <si>
    <t>Ms.Abbaszadeh</t>
  </si>
  <si>
    <t>Description</t>
  </si>
  <si>
    <t>Project Weekly Report</t>
  </si>
  <si>
    <t>Project Name</t>
  </si>
  <si>
    <t>Meeting date</t>
  </si>
  <si>
    <t>Client name</t>
  </si>
  <si>
    <t>Project  deadline</t>
  </si>
  <si>
    <t>Mr.Alizadeh</t>
  </si>
  <si>
    <t>Mr.Haji</t>
  </si>
  <si>
    <t>Mr. Bahmani</t>
  </si>
  <si>
    <t>Mr.Rezazadeh</t>
  </si>
  <si>
    <t>Mr.Bahmani</t>
  </si>
  <si>
    <t>Respect front and Rear Muffler</t>
  </si>
  <si>
    <t>1404/07/06</t>
  </si>
  <si>
    <t>Bahman Khodro</t>
  </si>
  <si>
    <t>1404/07/21</t>
  </si>
  <si>
    <t>W4</t>
  </si>
  <si>
    <t>نقشه دو بعدی میانی و انتهایی</t>
  </si>
  <si>
    <t>OPC مجموعه میانی و انتهایی</t>
  </si>
  <si>
    <t>مشخصات مهم محصول و FEMA</t>
  </si>
  <si>
    <t>1404/07/14</t>
  </si>
  <si>
    <t>BOM</t>
  </si>
  <si>
    <t>1404/07/07</t>
  </si>
  <si>
    <t>طرح کنترل CP</t>
  </si>
  <si>
    <t>1404/07/15</t>
  </si>
  <si>
    <t>لیست کنترل</t>
  </si>
  <si>
    <t>Layout</t>
  </si>
  <si>
    <t xml:space="preserve">طرح بسته بندی </t>
  </si>
  <si>
    <t>Mr.Akbari</t>
  </si>
  <si>
    <t>نتایج کنترل ابعادی Data Sheet</t>
  </si>
  <si>
    <t>آنالیز مواد</t>
  </si>
  <si>
    <t>Gantt Chart</t>
  </si>
  <si>
    <t>FPC,SOS</t>
  </si>
  <si>
    <t>14047/07/07</t>
  </si>
  <si>
    <t>سوابق کیفی برگشتی QIR</t>
  </si>
  <si>
    <t>Mr.Karimi</t>
  </si>
  <si>
    <t>تهیه تجهیزات لیست تولیدی</t>
  </si>
  <si>
    <t>طرح دوباره کاری</t>
  </si>
  <si>
    <r>
      <t>در تاریخ 1404/07/09 مهندس علیزاده، opc منبع انتهایی را ارسال کردند و اذعان داشتند:</t>
    </r>
    <r>
      <rPr>
        <b/>
        <sz val="25"/>
        <color rgb="FFFF0000"/>
        <rFont val="B Nazanin"/>
        <charset val="178"/>
      </rPr>
      <t xml:space="preserve"> منبع میانی ریسپکت به دلیل نداشتن اطلاعات تا مورخ 1404/07/12 تکمیل و ارسال می گردد.</t>
    </r>
    <r>
      <rPr>
        <sz val="25"/>
        <color theme="1"/>
        <rFont val="B Nazanin"/>
        <charset val="178"/>
      </rPr>
      <t xml:space="preserve"> , 50% تسک ایشان تا تاریخ 1404/07/09 پیش رفته است.
</t>
    </r>
  </si>
  <si>
    <r>
      <t xml:space="preserve">مدارک مشخصه های مهم محصول انباره میانی و انتهایی در تاریخ 1404/07/09 توسط مهندس کریمی فرستاده شد </t>
    </r>
    <r>
      <rPr>
        <sz val="25"/>
        <color rgb="FFFF0000"/>
        <rFont val="B Nazanin"/>
        <charset val="178"/>
      </rPr>
      <t>FMEA مانده که منوط به داشتن تهیه مدرک OPC می‌باشد.</t>
    </r>
  </si>
  <si>
    <t>1404/07/08</t>
  </si>
  <si>
    <t xml:space="preserve">در تاریخ 1404/07/09 مهندس علیزاده، opc منبع انتهایی را ارسال کردند و اذعان داشتند: منبع میانی ریسپکت به دلیل نداشتن اطلاعات تا مورخ 1404/07/12 تکمیل و ارسال می گردد. , 50% تسک ایشان تا تاریخ 1404/07/09 پیش رفته است.
</t>
  </si>
  <si>
    <t>مدارک مشخصه های مهم محصول انباره میانی و انتهایی در تاریخ 1404/07/09 توسط مهندس کریمی فرستاده شد FMEA مانده که منوط به داشتن تهیه مدرک OPC می‌باشد.</t>
  </si>
  <si>
    <t>Planned(Miladi)</t>
  </si>
  <si>
    <t>Actual(Miladi)</t>
  </si>
  <si>
    <t>2025/9/28</t>
  </si>
  <si>
    <t>2025/10/5</t>
  </si>
  <si>
    <t>2025/10/12</t>
  </si>
  <si>
    <t>2025/10/6</t>
  </si>
  <si>
    <t>2025/9/29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</si>
</sst>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B Nazanin"/>
      <charset val="178"/>
    </font>
    <font>
      <sz val="12"/>
      <name val="B Nazanin"/>
      <charset val="178"/>
    </font>
    <font>
      <sz val="100"/>
      <color theme="1"/>
      <name val="B Titr"/>
      <charset val="178"/>
    </font>
    <font>
      <sz val="28"/>
      <color theme="1"/>
      <name val="Calibri"/>
      <family val="2"/>
      <scheme val="minor"/>
    </font>
    <font>
      <sz val="48"/>
      <name val="Calibri"/>
      <family val="2"/>
      <scheme val="minor"/>
    </font>
    <font>
      <sz val="35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40"/>
      <color theme="1"/>
      <name val="Calibri Light"/>
      <family val="2"/>
      <scheme val="major"/>
    </font>
    <font>
      <b/>
      <sz val="48"/>
      <name val="Calibri"/>
      <family val="2"/>
      <scheme val="minor"/>
    </font>
    <font>
      <sz val="42"/>
      <color theme="1"/>
      <name val="Calibri Light"/>
      <family val="2"/>
      <scheme val="major"/>
    </font>
    <font>
      <sz val="42"/>
      <color theme="1"/>
      <name val="Calibri"/>
      <family val="2"/>
      <scheme val="minor"/>
    </font>
    <font>
      <b/>
      <sz val="35"/>
      <name val="Calibri"/>
      <family val="2"/>
      <scheme val="minor"/>
    </font>
    <font>
      <b/>
      <sz val="45"/>
      <name val="Calibri"/>
      <family val="2"/>
      <scheme val="minor"/>
    </font>
    <font>
      <sz val="25"/>
      <color theme="1"/>
      <name val="B Nazanin"/>
      <charset val="178"/>
    </font>
    <font>
      <b/>
      <sz val="25"/>
      <color rgb="FFFF0000"/>
      <name val="B Nazanin"/>
      <charset val="178"/>
    </font>
    <font>
      <sz val="25"/>
      <color rgb="FFFF0000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9" fillId="0" borderId="10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17" fillId="3" borderId="1" xfId="1" applyFont="1" applyFill="1" applyBorder="1" applyAlignment="1">
      <alignment horizontal="center" vertical="center" wrapText="1"/>
    </xf>
    <xf numFmtId="0" fontId="17" fillId="5" borderId="10" xfId="1" applyNumberFormat="1" applyFont="1" applyFill="1" applyBorder="1" applyAlignment="1">
      <alignment horizontal="center" vertical="center" wrapText="1"/>
    </xf>
    <xf numFmtId="0" fontId="17" fillId="5" borderId="12" xfId="1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1" fillId="3" borderId="3" xfId="0" applyNumberFormat="1" applyFont="1" applyFill="1" applyBorder="1" applyAlignment="1">
      <alignment horizontal="center" vertical="center" wrapText="1"/>
    </xf>
    <xf numFmtId="14" fontId="11" fillId="3" borderId="6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56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8BE1FF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</dxfs>
  <tableStyles count="0" defaultTableStyle="TableStyleMedium2" defaultPivotStyle="PivotStyleLight16"/>
  <colors>
    <mruColors>
      <color rgb="FF4BFF9C"/>
      <color rgb="FF5BD4FF"/>
      <color rgb="FF57BBFF"/>
      <color rgb="FF37FF91"/>
      <color rgb="FFC7A1E3"/>
      <color rgb="FF8BE1FF"/>
      <color rgb="FFFF7171"/>
      <color rgb="FFFF2121"/>
      <color rgb="FFFF696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en-US" sz="6000" b="1" i="1">
                <a:solidFill>
                  <a:schemeClr val="tx1"/>
                </a:solidFill>
                <a:cs typeface="B Nazanin" panose="00000400000000000000" pitchFamily="2" charset="-78"/>
              </a:rPr>
              <a:t>Task</a:t>
            </a:r>
            <a:r>
              <a:rPr lang="en-US" sz="6000" b="1" i="1" baseline="0">
                <a:solidFill>
                  <a:schemeClr val="tx1"/>
                </a:solidFill>
                <a:cs typeface="B Nazanin" panose="00000400000000000000" pitchFamily="2" charset="-78"/>
              </a:rPr>
              <a:t> Activities</a:t>
            </a:r>
            <a:endParaRPr lang="en-US" sz="6000" b="1" i="1">
              <a:solidFill>
                <a:schemeClr val="tx1"/>
              </a:solidFill>
              <a:cs typeface="B Nazanin" panose="00000400000000000000" pitchFamily="2" charset="-78"/>
            </a:endParaRPr>
          </a:p>
        </c:rich>
      </c:tx>
      <c:layout>
        <c:manualLayout>
          <c:xMode val="edge"/>
          <c:yMode val="edge"/>
          <c:x val="0.43840753304874258"/>
          <c:y val="3.0313535617504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50734939402913"/>
          <c:y val="0.15661087526127787"/>
          <c:w val="0.42236572177571574"/>
          <c:h val="0.73355460518631743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57BBFF">
                  <a:alpha val="70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8-4F5A-98AE-4C3EA75985A2}"/>
              </c:ext>
            </c:extLst>
          </c:dPt>
          <c:dPt>
            <c:idx val="1"/>
            <c:bubble3D val="0"/>
            <c:spPr>
              <a:solidFill>
                <a:srgbClr val="FF0000">
                  <a:alpha val="67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8-4F5A-98AE-4C3EA75985A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8-4F5A-98AE-4C3EA75985A2}"/>
              </c:ext>
            </c:extLst>
          </c:dPt>
          <c:dPt>
            <c:idx val="3"/>
            <c:bubble3D val="0"/>
            <c:spPr>
              <a:solidFill>
                <a:srgbClr val="4BFF9C">
                  <a:alpha val="4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8-4F5A-98AE-4C3EA75985A2}"/>
              </c:ext>
            </c:extLst>
          </c:dPt>
          <c:dPt>
            <c:idx val="4"/>
            <c:bubble3D val="0"/>
            <c:spPr>
              <a:solidFill>
                <a:srgbClr val="7030A0">
                  <a:alpha val="6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8-4F5A-98AE-4C3EA75985A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8-4F5A-98AE-4C3EA75985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8-4F5A-98AE-4C3EA75985A2}"/>
                </c:ext>
              </c:extLst>
            </c:dLbl>
            <c:dLbl>
              <c:idx val="3"/>
              <c:layout>
                <c:manualLayout>
                  <c:x val="-1.2436907932850023E-3"/>
                  <c:y val="1.108398828915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F8-4F5A-98AE-4C3EA75985A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F8-4F5A-98AE-4C3EA75985A2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data!$H$3:$H$7</c:f>
              <c:strCache>
                <c:ptCount val="5"/>
                <c:pt idx="0">
                  <c:v>In progress</c:v>
                </c:pt>
                <c:pt idx="1">
                  <c:v>Delay</c:v>
                </c:pt>
                <c:pt idx="2">
                  <c:v>Allowed delay</c:v>
                </c:pt>
                <c:pt idx="3">
                  <c:v>On time</c:v>
                </c:pt>
                <c:pt idx="4">
                  <c:v>Ahead of schedule</c:v>
                </c:pt>
              </c:strCache>
            </c:strRef>
          </c:cat>
          <c:val>
            <c:numRef>
              <c:f>data!$A$3:$A$7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8-4F5A-98AE-4C3EA75985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6000" b="1" i="1">
                <a:solidFill>
                  <a:schemeClr val="tx1"/>
                </a:solidFill>
              </a:rPr>
              <a:t>Weekly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163742690058478E-2"/>
          <c:y val="0.11502585396639661"/>
          <c:w val="0.9432748538011696"/>
          <c:h val="0.770574421231401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5BD4FF">
                <a:alpha val="56000"/>
              </a:srgbClr>
            </a:solidFill>
            <a:ln w="85725">
              <a:solidFill>
                <a:schemeClr val="tx1"/>
              </a:solidFill>
            </a:ln>
            <a:effectLst/>
            <a:sp3d contourW="85725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-2.4221407877648597E-2"/>
                  <c:y val="0.268595149779831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F-4B42-A59E-F8D43ACC9922}"/>
                </c:ext>
              </c:extLst>
            </c:dLbl>
            <c:dLbl>
              <c:idx val="1"/>
              <c:layout>
                <c:manualLayout>
                  <c:x val="-2.9411764705882353E-2"/>
                  <c:y val="0.19834710743801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F-4B42-A59E-F8D43ACC9922}"/>
                </c:ext>
              </c:extLst>
            </c:dLbl>
            <c:dLbl>
              <c:idx val="2"/>
              <c:layout>
                <c:manualLayout>
                  <c:x val="-2.4221453287197148E-2"/>
                  <c:y val="0.15702479338842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F-4B42-A59E-F8D43ACC9922}"/>
                </c:ext>
              </c:extLst>
            </c:dLbl>
            <c:dLbl>
              <c:idx val="3"/>
              <c:layout>
                <c:manualLayout>
                  <c:x val="-4.0101353742995817E-2"/>
                  <c:y val="0.1983472158955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8-4A42-B349-67BA4E878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data!$D$8:$G$8</c:f>
              <c:strCache>
                <c:ptCount val="4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</c:strCache>
            </c:strRef>
          </c:cat>
          <c:val>
            <c:numRef>
              <c:f>data!$D$9:$G$9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37B-813B-EE3F19CC9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4120319"/>
        <c:axId val="2054120735"/>
        <c:axId val="0"/>
      </c:bar3DChart>
      <c:catAx>
        <c:axId val="2054120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0735"/>
        <c:crosses val="autoZero"/>
        <c:auto val="1"/>
        <c:lblAlgn val="ctr"/>
        <c:lblOffset val="100"/>
        <c:noMultiLvlLbl val="0"/>
      </c:catAx>
      <c:valAx>
        <c:axId val="2054120735"/>
        <c:scaling>
          <c:orientation val="minMax"/>
          <c:min val="0.70000000000000007"/>
        </c:scaling>
        <c:delete val="1"/>
        <c:axPos val="r"/>
        <c:numFmt formatCode="0%" sourceLinked="1"/>
        <c:majorTickMark val="out"/>
        <c:minorTickMark val="none"/>
        <c:tickLblPos val="nextTo"/>
        <c:crossAx val="2054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1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 i="1" baseline="0">
                <a:solidFill>
                  <a:schemeClr val="tx1"/>
                </a:solidFill>
                <a:effectLst/>
              </a:rPr>
              <a:t>Team Performance</a:t>
            </a:r>
            <a:endParaRPr lang="en-US" sz="6000" b="1" i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1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92407482973778E-3"/>
          <c:y val="0.15855350330279347"/>
          <c:w val="0.98606804667650705"/>
          <c:h val="0.748569797734391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6350"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data!$B$3:$G$3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E39-82D3-5256D0E3D7B3}"/>
            </c:ext>
          </c:extLst>
        </c:ser>
        <c:ser>
          <c:idx val="1"/>
          <c:order val="1"/>
          <c:tx>
            <c:strRef>
              <c:f>data!$H$4</c:f>
              <c:strCache>
                <c:ptCount val="1"/>
                <c:pt idx="0">
                  <c:v>Delay</c:v>
                </c:pt>
              </c:strCache>
            </c:strRef>
          </c:tx>
          <c:spPr>
            <a:solidFill>
              <a:srgbClr val="FF2121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E39-82D3-5256D0E3D7B3}"/>
            </c:ext>
          </c:extLst>
        </c:ser>
        <c:ser>
          <c:idx val="2"/>
          <c:order val="2"/>
          <c:tx>
            <c:strRef>
              <c:f>data!$H$5</c:f>
              <c:strCache>
                <c:ptCount val="1"/>
                <c:pt idx="0">
                  <c:v>Allowed delay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E-4E39-82D3-5256D0E3D7B3}"/>
            </c:ext>
          </c:extLst>
        </c:ser>
        <c:ser>
          <c:idx val="3"/>
          <c:order val="3"/>
          <c:tx>
            <c:strRef>
              <c:f>data!$H$6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4BFF9C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E-4E39-82D3-5256D0E3D7B3}"/>
            </c:ext>
          </c:extLst>
        </c:ser>
        <c:ser>
          <c:idx val="4"/>
          <c:order val="4"/>
          <c:tx>
            <c:strRef>
              <c:f>data!$H$7</c:f>
              <c:strCache>
                <c:ptCount val="1"/>
                <c:pt idx="0">
                  <c:v>Ahead of schedule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E39-82D3-5256D0E3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gapDepth val="0"/>
        <c:shape val="box"/>
        <c:axId val="247536607"/>
        <c:axId val="247537023"/>
        <c:axId val="0"/>
      </c:bar3DChart>
      <c:catAx>
        <c:axId val="2475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7023"/>
        <c:crosses val="autoZero"/>
        <c:auto val="1"/>
        <c:lblAlgn val="ctr"/>
        <c:lblOffset val="100"/>
        <c:noMultiLvlLbl val="0"/>
      </c:catAx>
      <c:valAx>
        <c:axId val="247537023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5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33669239841501"/>
          <c:y val="0.22861770531471676"/>
          <c:w val="0.3904706458827582"/>
          <c:h val="6.1345119964093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2</xdr:col>
      <xdr:colOff>13787437</xdr:colOff>
      <xdr:row>11</xdr:row>
      <xdr:rowOff>4076701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9</xdr:row>
      <xdr:rowOff>0</xdr:rowOff>
    </xdr:from>
    <xdr:to>
      <xdr:col>8</xdr:col>
      <xdr:colOff>83819</xdr:colOff>
      <xdr:row>10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27725" y="6791325"/>
          <a:ext cx="45719" cy="952500"/>
        </a:xfrm>
        <a:prstGeom prst="rect">
          <a:avLst/>
        </a:prstGeom>
        <a:pattFill prst="dkDnDiag">
          <a:fgClr>
            <a:srgbClr val="FF2121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1062033</xdr:colOff>
      <xdr:row>0</xdr:row>
      <xdr:rowOff>138113</xdr:rowOff>
    </xdr:from>
    <xdr:to>
      <xdr:col>9</xdr:col>
      <xdr:colOff>2609850</xdr:colOff>
      <xdr:row>2</xdr:row>
      <xdr:rowOff>598165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4433" y="138113"/>
          <a:ext cx="4557713" cy="17554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9</xdr:col>
      <xdr:colOff>6858000</xdr:colOff>
      <xdr:row>12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9</xdr:col>
      <xdr:colOff>6934200</xdr:colOff>
      <xdr:row>14</xdr:row>
      <xdr:rowOff>5067300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0.51116</cdr:x>
      <cdr:y>0.52826</cdr:y>
    </cdr:from>
    <cdr:to>
      <cdr:x>0.72717</cdr:x>
      <cdr:y>0.67312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05900" y="5418365"/>
          <a:ext cx="3848100" cy="148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85" zoomScaleNormal="85" workbookViewId="0">
      <selection activeCell="C15" sqref="C15"/>
    </sheetView>
  </sheetViews>
  <sheetFormatPr defaultRowHeight="21" x14ac:dyDescent="0.65"/>
  <cols>
    <col min="1" max="2" width="19" customWidth="1"/>
    <col min="3" max="3" width="17.3984375" style="3" customWidth="1"/>
    <col min="4" max="4" width="22.265625" style="3" customWidth="1"/>
    <col min="5" max="5" width="16.86328125" style="3" customWidth="1"/>
    <col min="6" max="6" width="17.1328125" style="3" bestFit="1" customWidth="1"/>
    <col min="7" max="7" width="16.73046875" style="3" customWidth="1"/>
    <col min="8" max="8" width="42.73046875" customWidth="1"/>
  </cols>
  <sheetData>
    <row r="1" spans="1:11" ht="38.25" customHeight="1" x14ac:dyDescent="0.45">
      <c r="A1" s="5" t="s">
        <v>1</v>
      </c>
      <c r="B1" s="5" t="s">
        <v>39</v>
      </c>
      <c r="C1" s="5" t="s">
        <v>35</v>
      </c>
      <c r="D1" s="5" t="s">
        <v>28</v>
      </c>
      <c r="E1" s="5" t="s">
        <v>63</v>
      </c>
      <c r="F1" s="5" t="s">
        <v>38</v>
      </c>
      <c r="G1" s="5" t="s">
        <v>36</v>
      </c>
      <c r="H1" s="5" t="s">
        <v>0</v>
      </c>
    </row>
    <row r="2" spans="1:11" s="2" customFormat="1" ht="33" customHeight="1" x14ac:dyDescent="0.45">
      <c r="A2" s="19">
        <f t="shared" ref="A2:A7" si="0">SUM(C2:G2)</f>
        <v>10</v>
      </c>
      <c r="B2" s="19">
        <f>COUNTIF('Fidelity Elite'!$C$18:$C$38,data!B1)</f>
        <v>3</v>
      </c>
      <c r="C2" s="19">
        <f>COUNTIF('Fidelity Elite'!$C$18:$C$38,data!C1)</f>
        <v>2</v>
      </c>
      <c r="D2" s="19">
        <f>COUNTIF('Fidelity Elite'!$C$18:$C$38,data!D1)</f>
        <v>2</v>
      </c>
      <c r="E2" s="19">
        <f>COUNTIF('Fidelity Elite'!$C$18:$C$38,data!E1)</f>
        <v>1</v>
      </c>
      <c r="F2" s="19">
        <f>COUNTIF('Fidelity Elite'!$C$18:$C$38,data!F1)</f>
        <v>1</v>
      </c>
      <c r="G2" s="19">
        <f>COUNTIF('Fidelity Elite'!$C$17:$C$38,data!G1)</f>
        <v>4</v>
      </c>
      <c r="H2" s="5" t="s">
        <v>6</v>
      </c>
    </row>
    <row r="3" spans="1:11" s="2" customFormat="1" ht="33" customHeight="1" x14ac:dyDescent="0.45">
      <c r="A3" s="19">
        <f t="shared" si="0"/>
        <v>10</v>
      </c>
      <c r="B3" s="19">
        <f>COUNTIFS('Fidelity Elite'!$C$18:$C$38,data!B1,'Fidelity Elite'!$A$18:$A$38,"Inprogress")</f>
        <v>3</v>
      </c>
      <c r="C3" s="19">
        <f>COUNTIFS('Fidelity Elite'!$C$18:$C$38,data!C1,'Fidelity Elite'!$A$18:$A$38,"Inprogress")</f>
        <v>2</v>
      </c>
      <c r="D3" s="19">
        <f>COUNTIFS('Fidelity Elite'!$C$18:$C$38,data!D1,'Fidelity Elite'!$A$18:$A$38,"Inprogress")</f>
        <v>2</v>
      </c>
      <c r="E3" s="19">
        <f>COUNTIFS('Fidelity Elite'!$C$18:$C$38,data!E1,'Fidelity Elite'!$A$18:$A$38,"Inprogress")</f>
        <v>1</v>
      </c>
      <c r="F3" s="19">
        <f>COUNTIFS('Fidelity Elite'!$C$18:$C$38,data!F1,'Fidelity Elite'!$A$18:$A$38,"Inprogress")</f>
        <v>1</v>
      </c>
      <c r="G3" s="19">
        <f>COUNTIFS('Fidelity Elite'!$C$17:$C$38,data!G1,'Fidelity Elite'!$A$17:$A$38,"Inprogress")</f>
        <v>4</v>
      </c>
      <c r="H3" s="28" t="s">
        <v>18</v>
      </c>
    </row>
    <row r="4" spans="1:11" s="2" customFormat="1" ht="33" customHeight="1" x14ac:dyDescent="0.45">
      <c r="A4" s="19">
        <f t="shared" si="0"/>
        <v>0</v>
      </c>
      <c r="B4" s="19">
        <f>COUNTIFS('Fidelity Elite'!$C$18:$C$38,data!B1,'Fidelity Elite'!$A$18:$A$38,"Delay")</f>
        <v>0</v>
      </c>
      <c r="C4" s="20">
        <f>COUNTIFS('Fidelity Elite'!$C$18:$C$38,data!C1,'Fidelity Elite'!$A$18:$A$38,"Delay")</f>
        <v>0</v>
      </c>
      <c r="D4" s="20">
        <f>COUNTIFS('Fidelity Elite'!$C$18:$C$38,data!D1,'Fidelity Elite'!$A$18:$A$38,"Delay")</f>
        <v>0</v>
      </c>
      <c r="E4" s="20">
        <f>COUNTIFS('Fidelity Elite'!$C$18:$C$38,data!E1,'Fidelity Elite'!$A$18:$A$38,"Delay")</f>
        <v>0</v>
      </c>
      <c r="F4" s="19">
        <f>COUNTIFS('Fidelity Elite'!$C$18:$C$38,data!F1,'Fidelity Elite'!$A$18:$A$38,"Delay")</f>
        <v>0</v>
      </c>
      <c r="G4" s="20">
        <f>COUNTIFS('Fidelity Elite'!$C$18:$C$38,data!G1,'Fidelity Elite'!$A$18:$A$38,"Delay")</f>
        <v>0</v>
      </c>
      <c r="H4" s="25" t="s">
        <v>4</v>
      </c>
    </row>
    <row r="5" spans="1:11" s="2" customFormat="1" ht="33" customHeight="1" x14ac:dyDescent="0.45">
      <c r="A5" s="19">
        <f t="shared" si="0"/>
        <v>0</v>
      </c>
      <c r="B5" s="19">
        <f>COUNTIFS('Fidelity Elite'!$C$18:$C$38,data!B1,'Fidelity Elite'!$A$18:$A$38,"Allowed delay")</f>
        <v>0</v>
      </c>
      <c r="C5" s="20">
        <f>COUNTIFS('Fidelity Elite'!$C$18:$C$38,data!C1,'Fidelity Elite'!$A$18:$A$38,"Allowed delay")</f>
        <v>0</v>
      </c>
      <c r="D5" s="20">
        <f>COUNTIFS('Fidelity Elite'!$C$18:$C$38,data!D1,'Fidelity Elite'!$A$18:$A$38,"Allowed delay")</f>
        <v>0</v>
      </c>
      <c r="E5" s="20">
        <f>COUNTIFS('Fidelity Elite'!$C$18:$C$38,data!E1,'Fidelity Elite'!$A$18:$A$38,"Allowed delay")</f>
        <v>0</v>
      </c>
      <c r="F5" s="19">
        <f>COUNTIFS('Fidelity Elite'!$C$18:$C$38,data!F1,'Fidelity Elite'!$A$18:$A$38,"Allowed delay")</f>
        <v>0</v>
      </c>
      <c r="G5" s="20">
        <f>COUNTIFS('Fidelity Elite'!$C$18:$C$38,data!G1,'Fidelity Elite'!$A$18:$A$38,"Allowed delay")</f>
        <v>0</v>
      </c>
      <c r="H5" s="26" t="s">
        <v>17</v>
      </c>
    </row>
    <row r="6" spans="1:11" s="2" customFormat="1" ht="33" customHeight="1" x14ac:dyDescent="0.45">
      <c r="A6" s="19">
        <f t="shared" si="0"/>
        <v>0</v>
      </c>
      <c r="B6" s="19">
        <f>COUNTIFS('Fidelity Elite'!$C$18:$C$38,data!B1,'Fidelity Elite'!$A$18:$A$38,"On time")</f>
        <v>0</v>
      </c>
      <c r="C6" s="20">
        <f>COUNTIFS('Fidelity Elite'!$C$18:$C$38,data!C1,'Fidelity Elite'!$A$18:$A$38,"On time")</f>
        <v>0</v>
      </c>
      <c r="D6" s="20">
        <f>COUNTIFS('Fidelity Elite'!$C$18:$C$38,data!D1,'Fidelity Elite'!$A$18:$A$38,"On time")</f>
        <v>0</v>
      </c>
      <c r="E6" s="20">
        <f>COUNTIFS('Fidelity Elite'!$C$18:$C$38,data!E1,'Fidelity Elite'!$A$18:$A$38,"On time")</f>
        <v>0</v>
      </c>
      <c r="F6" s="19">
        <f>COUNTIFS('Fidelity Elite'!$C$18:$C$38,data!F1,'Fidelity Elite'!$A$18:$A$38,"On time")</f>
        <v>0</v>
      </c>
      <c r="G6" s="20">
        <f>COUNTIFS('Fidelity Elite'!$C$17:$C$38,data!G1,'Fidelity Elite'!$A$17:$A$38,"On time")</f>
        <v>0</v>
      </c>
      <c r="H6" s="24" t="s">
        <v>5</v>
      </c>
    </row>
    <row r="7" spans="1:11" s="2" customFormat="1" ht="33" customHeight="1" x14ac:dyDescent="0.45">
      <c r="A7" s="19">
        <f t="shared" si="0"/>
        <v>0</v>
      </c>
      <c r="B7" s="19">
        <f>COUNTIFS('Fidelity Elite'!$C$18:$C$38,data!B1,'Fidelity Elite'!$A$18:$A$38,"Ahead of schedule")</f>
        <v>0</v>
      </c>
      <c r="C7" s="20">
        <f>COUNTIFS('Fidelity Elite'!$C$18:$C$38,data!C1,'Fidelity Elite'!$A$18:$A$38,"Ahead of schedule")</f>
        <v>0</v>
      </c>
      <c r="D7" s="20">
        <f>COUNTIFS('Fidelity Elite'!$C$18:$C$38,data!D1,'Fidelity Elite'!$A$18:$A$38,"Ahead of schedule")</f>
        <v>0</v>
      </c>
      <c r="E7" s="20">
        <f>COUNTIFS('Fidelity Elite'!$C$18:$C$38,data!E1,'Fidelity Elite'!$A$18:$A$38,"Ahead of schedule")</f>
        <v>0</v>
      </c>
      <c r="F7" s="19">
        <f>COUNTIFS('Fidelity Elite'!$C$18:$C$38,data!F1,'Fidelity Elite'!$A$18:$A$38,"Ahead of schedule")</f>
        <v>0</v>
      </c>
      <c r="G7" s="20">
        <f>COUNTIFS('Fidelity Elite'!$C$18:$C$38,data!G1,'Fidelity Elite'!$A$18:$A$38,"Ahead of schedule")</f>
        <v>0</v>
      </c>
      <c r="H7" s="27" t="s">
        <v>21</v>
      </c>
      <c r="K7" s="13">
        <v>-6</v>
      </c>
    </row>
    <row r="8" spans="1:11" ht="30.75" customHeight="1" x14ac:dyDescent="0.45">
      <c r="A8" s="19">
        <f>SUM(A3:A7)</f>
        <v>10</v>
      </c>
      <c r="B8" s="19"/>
      <c r="C8" s="21"/>
      <c r="D8" s="21" t="s">
        <v>44</v>
      </c>
      <c r="E8" s="21" t="s">
        <v>24</v>
      </c>
      <c r="F8" s="21" t="s">
        <v>23</v>
      </c>
      <c r="G8" s="21" t="s">
        <v>22</v>
      </c>
      <c r="H8" s="19" t="s">
        <v>25</v>
      </c>
    </row>
    <row r="9" spans="1:11" ht="30.75" customHeight="1" x14ac:dyDescent="0.45">
      <c r="A9" s="2"/>
      <c r="B9" s="32"/>
      <c r="C9" s="22"/>
      <c r="D9" s="23">
        <v>0</v>
      </c>
      <c r="E9" s="23">
        <v>0</v>
      </c>
      <c r="F9" s="23">
        <v>0</v>
      </c>
      <c r="G9" s="23">
        <v>0</v>
      </c>
      <c r="H9" s="19"/>
    </row>
  </sheetData>
  <phoneticPr fontId="14" type="noConversion"/>
  <conditionalFormatting sqref="K7">
    <cfRule type="dataBar" priority="1">
      <dataBar>
        <cfvo type="num" val="-100"/>
        <cfvo type="num" val="0"/>
        <color rgb="FFFF6969"/>
      </dataBar>
      <extLst>
        <ext xmlns:x14="http://schemas.microsoft.com/office/spreadsheetml/2009/9/main" uri="{B025F937-C7B1-47D3-B67F-A62EFF666E3E}">
          <x14:id>{D4903066-B885-4730-ABD2-4488172911D4}</x14:id>
        </ext>
      </extLst>
    </cfRule>
  </conditionalFormatting>
  <pageMargins left="0.7" right="0.7" top="0.75" bottom="0.75" header="0.3" footer="0.3"/>
  <pageSetup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03066-B885-4730-ABD2-4488172911D4}">
            <x14:dataBar minLength="0" maxLength="100" gradient="0">
              <x14:cfvo type="num">
                <xm:f>-100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K7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1"/>
  <sheetViews>
    <sheetView topLeftCell="C13" zoomScale="25" zoomScaleNormal="25" zoomScaleSheetLayoutView="25" zoomScalePageLayoutView="24" workbookViewId="0">
      <selection activeCell="E18" sqref="E18"/>
    </sheetView>
  </sheetViews>
  <sheetFormatPr defaultRowHeight="14.25" x14ac:dyDescent="0.45"/>
  <cols>
    <col min="1" max="1" width="71" style="2" customWidth="1"/>
    <col min="2" max="2" width="225.3984375" style="2" customWidth="1"/>
    <col min="3" max="3" width="92.73046875" style="2" customWidth="1"/>
    <col min="4" max="5" width="84.73046875" customWidth="1"/>
    <col min="6" max="6" width="50.86328125" bestFit="1" customWidth="1"/>
    <col min="7" max="7" width="50.86328125" customWidth="1"/>
    <col min="8" max="8" width="46.86328125" customWidth="1"/>
    <col min="9" max="9" width="45" customWidth="1"/>
    <col min="10" max="10" width="53.265625" customWidth="1"/>
    <col min="11" max="23" width="22.265625" hidden="1" customWidth="1"/>
    <col min="24" max="33" width="0" hidden="1" customWidth="1"/>
    <col min="34" max="38" width="9.1328125" hidden="1" customWidth="1"/>
    <col min="39" max="39" width="22.265625" customWidth="1"/>
    <col min="40" max="40" width="9.1328125" customWidth="1"/>
    <col min="42" max="42" width="21.1328125" customWidth="1"/>
  </cols>
  <sheetData>
    <row r="1" spans="1:10" ht="50.25" customHeight="1" x14ac:dyDescent="0.45">
      <c r="A1" s="8" t="s">
        <v>13</v>
      </c>
      <c r="B1" s="57" t="s">
        <v>30</v>
      </c>
      <c r="C1" s="58"/>
      <c r="D1" s="58"/>
      <c r="E1" s="58"/>
      <c r="F1" s="58"/>
      <c r="G1" s="58"/>
      <c r="H1" s="59"/>
      <c r="I1" s="51"/>
      <c r="J1" s="52"/>
    </row>
    <row r="2" spans="1:10" ht="50.25" customHeight="1" x14ac:dyDescent="0.45">
      <c r="A2" s="8" t="s">
        <v>12</v>
      </c>
      <c r="B2" s="60"/>
      <c r="C2" s="61"/>
      <c r="D2" s="61"/>
      <c r="E2" s="61"/>
      <c r="F2" s="61"/>
      <c r="G2" s="61"/>
      <c r="H2" s="62"/>
      <c r="I2" s="53"/>
      <c r="J2" s="54"/>
    </row>
    <row r="3" spans="1:10" ht="50.25" customHeight="1" x14ac:dyDescent="0.45">
      <c r="A3" s="8" t="s">
        <v>14</v>
      </c>
      <c r="B3" s="63"/>
      <c r="C3" s="64"/>
      <c r="D3" s="64"/>
      <c r="E3" s="64"/>
      <c r="F3" s="64"/>
      <c r="G3" s="64"/>
      <c r="H3" s="65"/>
      <c r="I3" s="55"/>
      <c r="J3" s="56"/>
    </row>
    <row r="4" spans="1:10" s="7" customFormat="1" ht="50.25" customHeight="1" x14ac:dyDescent="0.45">
      <c r="A4" s="69"/>
      <c r="B4" s="72" t="s">
        <v>16</v>
      </c>
      <c r="C4" s="77" t="s">
        <v>31</v>
      </c>
      <c r="D4" s="77" t="s">
        <v>32</v>
      </c>
      <c r="E4" s="33"/>
      <c r="F4" s="77" t="s">
        <v>33</v>
      </c>
      <c r="G4" s="77"/>
      <c r="H4" s="77"/>
      <c r="I4" s="77" t="s">
        <v>34</v>
      </c>
      <c r="J4" s="77"/>
    </row>
    <row r="5" spans="1:10" s="7" customFormat="1" ht="50.25" customHeight="1" x14ac:dyDescent="0.45">
      <c r="A5" s="70"/>
      <c r="B5" s="73"/>
      <c r="C5" s="77"/>
      <c r="D5" s="77"/>
      <c r="E5" s="33"/>
      <c r="F5" s="77"/>
      <c r="G5" s="77"/>
      <c r="H5" s="77"/>
      <c r="I5" s="77"/>
      <c r="J5" s="77"/>
    </row>
    <row r="6" spans="1:10" s="7" customFormat="1" ht="44.25" customHeight="1" x14ac:dyDescent="0.45">
      <c r="A6" s="70"/>
      <c r="B6" s="74"/>
      <c r="C6" s="77"/>
      <c r="D6" s="77"/>
      <c r="E6" s="33"/>
      <c r="F6" s="77"/>
      <c r="G6" s="77"/>
      <c r="H6" s="77"/>
      <c r="I6" s="77"/>
      <c r="J6" s="77"/>
    </row>
    <row r="7" spans="1:10" s="7" customFormat="1" ht="44.25" customHeight="1" x14ac:dyDescent="0.45">
      <c r="A7" s="70"/>
      <c r="B7" s="75" t="s">
        <v>37</v>
      </c>
      <c r="C7" s="78" t="s">
        <v>40</v>
      </c>
      <c r="D7" s="85" t="s">
        <v>41</v>
      </c>
      <c r="E7" s="90"/>
      <c r="F7" s="81" t="s">
        <v>42</v>
      </c>
      <c r="G7" s="92"/>
      <c r="H7" s="82"/>
      <c r="I7" s="81" t="s">
        <v>43</v>
      </c>
      <c r="J7" s="82"/>
    </row>
    <row r="8" spans="1:10" s="7" customFormat="1" ht="80.25" customHeight="1" x14ac:dyDescent="0.45">
      <c r="A8" s="71"/>
      <c r="B8" s="76"/>
      <c r="C8" s="79"/>
      <c r="D8" s="86"/>
      <c r="E8" s="91"/>
      <c r="F8" s="83"/>
      <c r="G8" s="93"/>
      <c r="H8" s="84"/>
      <c r="I8" s="83"/>
      <c r="J8" s="84"/>
    </row>
    <row r="9" spans="1:10" s="7" customFormat="1" ht="72.75" customHeight="1" x14ac:dyDescent="0.45">
      <c r="A9" s="15" t="s">
        <v>2</v>
      </c>
      <c r="B9" s="34" t="s">
        <v>3</v>
      </c>
      <c r="C9" s="35"/>
      <c r="D9" s="80" t="s">
        <v>20</v>
      </c>
      <c r="E9" s="80"/>
      <c r="F9" s="80"/>
      <c r="G9" s="80"/>
      <c r="H9" s="80"/>
      <c r="I9" s="80" t="s">
        <v>19</v>
      </c>
      <c r="J9" s="80"/>
    </row>
    <row r="10" spans="1:10" s="6" customFormat="1" ht="61.15" x14ac:dyDescent="0.45">
      <c r="A10" s="16">
        <f>COUNTIF(C18:C41,"&lt;&gt;")</f>
        <v>14</v>
      </c>
      <c r="B10" s="67" t="str">
        <f>IF(I10=0%,"Good",IF(I10&gt;=-10%,"Bad",IF(I10&lt;=-20%,"critical")))</f>
        <v>Good</v>
      </c>
      <c r="C10" s="68"/>
      <c r="D10" s="66">
        <f>AVERAGE(H18:H24)</f>
        <v>0.42857142857142855</v>
      </c>
      <c r="E10" s="66"/>
      <c r="F10" s="66"/>
      <c r="G10" s="66"/>
      <c r="H10" s="66"/>
      <c r="I10" s="66"/>
      <c r="J10" s="66"/>
    </row>
    <row r="11" spans="1:10" s="4" customFormat="1" ht="399.95" customHeight="1" x14ac:dyDescent="2.65">
      <c r="A11" s="36"/>
      <c r="B11" s="37"/>
      <c r="C11" s="38"/>
      <c r="D11" s="36"/>
      <c r="E11" s="37"/>
      <c r="F11" s="37"/>
      <c r="G11" s="37"/>
      <c r="H11" s="37"/>
      <c r="I11" s="37"/>
      <c r="J11" s="38"/>
    </row>
    <row r="12" spans="1:10" s="4" customFormat="1" ht="324.75" customHeight="1" x14ac:dyDescent="2.65">
      <c r="A12" s="42"/>
      <c r="B12" s="43"/>
      <c r="C12" s="44"/>
      <c r="D12" s="42"/>
      <c r="E12" s="43"/>
      <c r="F12" s="43"/>
      <c r="G12" s="43"/>
      <c r="H12" s="43"/>
      <c r="I12" s="43"/>
      <c r="J12" s="44"/>
    </row>
    <row r="13" spans="1:10" s="4" customFormat="1" ht="204.75" customHeight="1" x14ac:dyDescent="2.65">
      <c r="A13" s="36"/>
      <c r="B13" s="37"/>
      <c r="C13" s="37"/>
      <c r="D13" s="37"/>
      <c r="E13" s="37"/>
      <c r="F13" s="37"/>
      <c r="G13" s="37"/>
      <c r="H13" s="37"/>
      <c r="I13" s="37"/>
      <c r="J13" s="38"/>
    </row>
    <row r="14" spans="1:10" s="4" customFormat="1" ht="204.75" customHeight="1" x14ac:dyDescent="2.65">
      <c r="A14" s="39"/>
      <c r="B14" s="40"/>
      <c r="C14" s="40"/>
      <c r="D14" s="40"/>
      <c r="E14" s="40"/>
      <c r="F14" s="40"/>
      <c r="G14" s="40"/>
      <c r="H14" s="40"/>
      <c r="I14" s="40"/>
      <c r="J14" s="41"/>
    </row>
    <row r="15" spans="1:10" s="4" customFormat="1" ht="409.6" customHeight="1" x14ac:dyDescent="2.65">
      <c r="A15" s="42"/>
      <c r="B15" s="43"/>
      <c r="C15" s="43"/>
      <c r="D15" s="43"/>
      <c r="E15" s="43"/>
      <c r="F15" s="43"/>
      <c r="G15" s="43"/>
      <c r="H15" s="43"/>
      <c r="I15" s="43"/>
      <c r="J15" s="44"/>
    </row>
    <row r="16" spans="1:10" ht="109.5" customHeight="1" x14ac:dyDescent="0.45">
      <c r="A16" s="9" t="s">
        <v>7</v>
      </c>
      <c r="B16" s="9" t="s">
        <v>15</v>
      </c>
      <c r="C16" s="9" t="s">
        <v>8</v>
      </c>
      <c r="D16" s="10" t="s">
        <v>9</v>
      </c>
      <c r="E16" s="10" t="s">
        <v>71</v>
      </c>
      <c r="F16" s="10" t="s">
        <v>10</v>
      </c>
      <c r="G16" s="10" t="s">
        <v>72</v>
      </c>
      <c r="H16" s="10" t="s">
        <v>11</v>
      </c>
      <c r="I16" s="45" t="s">
        <v>29</v>
      </c>
      <c r="J16" s="46"/>
    </row>
    <row r="17" spans="1:10" s="1" customFormat="1" ht="72.75" x14ac:dyDescent="0.95">
      <c r="A17" s="14" t="s">
        <v>26</v>
      </c>
      <c r="B17" s="12" t="s">
        <v>45</v>
      </c>
      <c r="C17" s="18" t="s">
        <v>39</v>
      </c>
      <c r="D17" s="94" t="s">
        <v>50</v>
      </c>
      <c r="E17" s="95" t="s">
        <v>73</v>
      </c>
      <c r="F17" s="17" t="s">
        <v>68</v>
      </c>
      <c r="G17" s="95" t="s">
        <v>77</v>
      </c>
      <c r="H17" s="11">
        <v>1</v>
      </c>
      <c r="I17" s="49"/>
      <c r="J17" s="50"/>
    </row>
    <row r="18" spans="1:10" s="1" customFormat="1" ht="201" customHeight="1" x14ac:dyDescent="0.95">
      <c r="A18" s="14" t="s">
        <v>26</v>
      </c>
      <c r="B18" s="31" t="s">
        <v>46</v>
      </c>
      <c r="C18" s="18" t="s">
        <v>35</v>
      </c>
      <c r="D18" s="94" t="s">
        <v>61</v>
      </c>
      <c r="E18" s="95"/>
      <c r="F18" s="17" t="s">
        <v>27</v>
      </c>
      <c r="G18" s="95"/>
      <c r="H18" s="11">
        <v>0.5</v>
      </c>
      <c r="I18" s="47" t="s">
        <v>66</v>
      </c>
      <c r="J18" s="48"/>
    </row>
    <row r="19" spans="1:10" s="1" customFormat="1" ht="164.25" customHeight="1" x14ac:dyDescent="0.95">
      <c r="A19" s="14" t="s">
        <v>26</v>
      </c>
      <c r="B19" s="12" t="s">
        <v>47</v>
      </c>
      <c r="C19" s="18" t="s">
        <v>63</v>
      </c>
      <c r="D19" s="94" t="s">
        <v>48</v>
      </c>
      <c r="E19" s="95" t="s">
        <v>74</v>
      </c>
      <c r="F19" s="17" t="s">
        <v>27</v>
      </c>
      <c r="G19" s="95"/>
      <c r="H19" s="11">
        <v>0.5</v>
      </c>
      <c r="I19" s="47" t="s">
        <v>67</v>
      </c>
      <c r="J19" s="48"/>
    </row>
    <row r="20" spans="1:10" s="1" customFormat="1" ht="164.25" customHeight="1" x14ac:dyDescent="0.95">
      <c r="A20" s="14" t="s">
        <v>26</v>
      </c>
      <c r="B20" s="12" t="s">
        <v>49</v>
      </c>
      <c r="C20" s="18" t="s">
        <v>39</v>
      </c>
      <c r="D20" s="94" t="s">
        <v>50</v>
      </c>
      <c r="E20" s="95" t="s">
        <v>73</v>
      </c>
      <c r="F20" s="17" t="s">
        <v>68</v>
      </c>
      <c r="G20" s="95" t="s">
        <v>77</v>
      </c>
      <c r="H20" s="11">
        <v>1</v>
      </c>
      <c r="I20" s="29"/>
      <c r="J20" s="30"/>
    </row>
    <row r="21" spans="1:10" s="1" customFormat="1" ht="164.25" customHeight="1" x14ac:dyDescent="0.95">
      <c r="A21" s="14" t="s">
        <v>26</v>
      </c>
      <c r="B21" s="12" t="s">
        <v>62</v>
      </c>
      <c r="C21" s="18" t="s">
        <v>36</v>
      </c>
      <c r="D21" s="94" t="s">
        <v>50</v>
      </c>
      <c r="E21" s="95" t="s">
        <v>73</v>
      </c>
      <c r="F21" s="17" t="s">
        <v>50</v>
      </c>
      <c r="G21" s="95" t="s">
        <v>73</v>
      </c>
      <c r="H21" s="11">
        <v>1</v>
      </c>
      <c r="I21" s="87"/>
      <c r="J21" s="88"/>
    </row>
    <row r="22" spans="1:10" s="1" customFormat="1" ht="164.25" customHeight="1" x14ac:dyDescent="0.95">
      <c r="A22" s="14" t="s">
        <v>26</v>
      </c>
      <c r="B22" s="12" t="s">
        <v>51</v>
      </c>
      <c r="C22" s="18" t="s">
        <v>36</v>
      </c>
      <c r="D22" s="94" t="s">
        <v>43</v>
      </c>
      <c r="E22" s="95" t="s">
        <v>75</v>
      </c>
      <c r="F22" s="17" t="s">
        <v>27</v>
      </c>
      <c r="G22" s="17"/>
      <c r="H22" s="11">
        <v>0</v>
      </c>
      <c r="I22" s="87"/>
      <c r="J22" s="88"/>
    </row>
    <row r="23" spans="1:10" s="1" customFormat="1" ht="164.25" customHeight="1" x14ac:dyDescent="0.95">
      <c r="A23" s="14" t="s">
        <v>26</v>
      </c>
      <c r="B23" s="12" t="s">
        <v>64</v>
      </c>
      <c r="C23" s="18" t="s">
        <v>35</v>
      </c>
      <c r="D23" s="94" t="s">
        <v>52</v>
      </c>
      <c r="E23" s="95" t="s">
        <v>76</v>
      </c>
      <c r="F23" s="17" t="s">
        <v>27</v>
      </c>
      <c r="G23" s="17"/>
      <c r="H23" s="11">
        <v>0</v>
      </c>
      <c r="I23" s="87"/>
      <c r="J23" s="88"/>
    </row>
    <row r="24" spans="1:10" s="1" customFormat="1" ht="164.25" customHeight="1" x14ac:dyDescent="0.95">
      <c r="A24" s="14" t="s">
        <v>26</v>
      </c>
      <c r="B24" s="12" t="s">
        <v>53</v>
      </c>
      <c r="C24" s="18" t="s">
        <v>36</v>
      </c>
      <c r="D24" s="94" t="s">
        <v>52</v>
      </c>
      <c r="E24" s="95" t="s">
        <v>76</v>
      </c>
      <c r="F24" s="17" t="s">
        <v>27</v>
      </c>
      <c r="G24" s="17"/>
      <c r="H24" s="11">
        <v>0</v>
      </c>
      <c r="I24" s="87"/>
      <c r="J24" s="88"/>
    </row>
    <row r="25" spans="1:10" ht="164.25" customHeight="1" x14ac:dyDescent="0.95">
      <c r="A25" s="14" t="s">
        <v>26</v>
      </c>
      <c r="B25" s="12" t="s">
        <v>54</v>
      </c>
      <c r="C25" s="18" t="s">
        <v>28</v>
      </c>
      <c r="D25" s="94" t="s">
        <v>52</v>
      </c>
      <c r="E25" s="95" t="s">
        <v>76</v>
      </c>
      <c r="F25" s="17" t="s">
        <v>27</v>
      </c>
      <c r="G25" s="17"/>
      <c r="H25" s="11">
        <v>0</v>
      </c>
      <c r="I25" s="87"/>
      <c r="J25" s="88"/>
    </row>
    <row r="26" spans="1:10" ht="164.25" customHeight="1" x14ac:dyDescent="0.95">
      <c r="A26" s="14" t="s">
        <v>26</v>
      </c>
      <c r="B26" s="12" t="s">
        <v>55</v>
      </c>
      <c r="C26" s="18" t="s">
        <v>56</v>
      </c>
      <c r="D26" s="94" t="s">
        <v>52</v>
      </c>
      <c r="E26" s="95" t="s">
        <v>76</v>
      </c>
      <c r="F26" s="17" t="s">
        <v>27</v>
      </c>
      <c r="G26" s="17"/>
      <c r="H26" s="11">
        <v>0</v>
      </c>
      <c r="I26" s="87"/>
      <c r="J26" s="88"/>
    </row>
    <row r="27" spans="1:10" ht="164.25" customHeight="1" x14ac:dyDescent="0.95">
      <c r="A27" s="14" t="s">
        <v>26</v>
      </c>
      <c r="B27" s="12" t="s">
        <v>57</v>
      </c>
      <c r="C27" s="18" t="s">
        <v>39</v>
      </c>
      <c r="D27" s="94" t="s">
        <v>52</v>
      </c>
      <c r="E27" s="95" t="s">
        <v>76</v>
      </c>
      <c r="F27" s="17" t="s">
        <v>27</v>
      </c>
      <c r="G27" s="17"/>
      <c r="H27" s="11">
        <v>0</v>
      </c>
      <c r="I27" s="87"/>
      <c r="J27" s="88"/>
    </row>
    <row r="28" spans="1:10" ht="164.25" customHeight="1" x14ac:dyDescent="0.95">
      <c r="A28" s="14" t="s">
        <v>26</v>
      </c>
      <c r="B28" s="12" t="s">
        <v>58</v>
      </c>
      <c r="C28" s="18" t="s">
        <v>36</v>
      </c>
      <c r="D28" s="94" t="s">
        <v>52</v>
      </c>
      <c r="E28" s="95" t="s">
        <v>76</v>
      </c>
      <c r="F28" s="17" t="s">
        <v>27</v>
      </c>
      <c r="G28" s="17"/>
      <c r="H28" s="11">
        <v>0</v>
      </c>
      <c r="I28" s="87"/>
      <c r="J28" s="88"/>
    </row>
    <row r="29" spans="1:10" ht="164.25" customHeight="1" x14ac:dyDescent="0.95">
      <c r="A29" s="14" t="s">
        <v>26</v>
      </c>
      <c r="B29" s="12" t="s">
        <v>59</v>
      </c>
      <c r="C29" s="18" t="s">
        <v>38</v>
      </c>
      <c r="D29" s="94" t="s">
        <v>52</v>
      </c>
      <c r="E29" s="95" t="s">
        <v>76</v>
      </c>
      <c r="F29" s="17" t="s">
        <v>27</v>
      </c>
      <c r="G29" s="17"/>
      <c r="H29" s="11">
        <v>0</v>
      </c>
      <c r="I29" s="87"/>
      <c r="J29" s="88"/>
    </row>
    <row r="30" spans="1:10" ht="164.25" customHeight="1" x14ac:dyDescent="0.95">
      <c r="A30" s="14" t="s">
        <v>26</v>
      </c>
      <c r="B30" s="12" t="s">
        <v>60</v>
      </c>
      <c r="C30" s="18" t="s">
        <v>28</v>
      </c>
      <c r="D30" s="94" t="s">
        <v>52</v>
      </c>
      <c r="E30" s="95" t="s">
        <v>76</v>
      </c>
      <c r="F30" s="17" t="s">
        <v>27</v>
      </c>
      <c r="G30" s="17"/>
      <c r="H30" s="11">
        <v>0</v>
      </c>
      <c r="I30" s="89"/>
      <c r="J30" s="89"/>
    </row>
    <row r="31" spans="1:10" ht="164.25" customHeight="1" x14ac:dyDescent="0.95">
      <c r="A31" s="14" t="s">
        <v>26</v>
      </c>
      <c r="B31" s="12" t="s">
        <v>65</v>
      </c>
      <c r="C31" s="18" t="s">
        <v>39</v>
      </c>
      <c r="D31" s="94" t="s">
        <v>52</v>
      </c>
      <c r="E31" s="95" t="s">
        <v>76</v>
      </c>
      <c r="F31" s="17" t="s">
        <v>27</v>
      </c>
      <c r="G31" s="17"/>
      <c r="H31" s="11">
        <v>0</v>
      </c>
      <c r="I31" s="89"/>
      <c r="J31" s="89"/>
    </row>
  </sheetData>
  <autoFilter ref="A16:AL31" xr:uid="{00000000-0001-0000-0100-000000000000}">
    <filterColumn colId="8" showButton="0"/>
  </autoFilter>
  <mergeCells count="37">
    <mergeCell ref="I31:J31"/>
    <mergeCell ref="I26:J26"/>
    <mergeCell ref="I27:J27"/>
    <mergeCell ref="I28:J28"/>
    <mergeCell ref="I29:J29"/>
    <mergeCell ref="I30:J30"/>
    <mergeCell ref="F7:H8"/>
    <mergeCell ref="I4:J6"/>
    <mergeCell ref="I7:J8"/>
    <mergeCell ref="D7:D8"/>
    <mergeCell ref="I25:J25"/>
    <mergeCell ref="I21:J21"/>
    <mergeCell ref="I22:J22"/>
    <mergeCell ref="I23:J23"/>
    <mergeCell ref="I24:J24"/>
    <mergeCell ref="I19:J19"/>
    <mergeCell ref="I1:J3"/>
    <mergeCell ref="B1:H3"/>
    <mergeCell ref="A11:C12"/>
    <mergeCell ref="D11:J12"/>
    <mergeCell ref="D10:H10"/>
    <mergeCell ref="I10:J10"/>
    <mergeCell ref="B10:C10"/>
    <mergeCell ref="A4:A8"/>
    <mergeCell ref="B4:B6"/>
    <mergeCell ref="B7:B8"/>
    <mergeCell ref="C4:C6"/>
    <mergeCell ref="C7:C8"/>
    <mergeCell ref="D9:H9"/>
    <mergeCell ref="I9:J9"/>
    <mergeCell ref="D4:D6"/>
    <mergeCell ref="F4:H6"/>
    <mergeCell ref="B9:C9"/>
    <mergeCell ref="A13:J15"/>
    <mergeCell ref="I16:J16"/>
    <mergeCell ref="I18:J18"/>
    <mergeCell ref="I17:J17"/>
  </mergeCells>
  <phoneticPr fontId="14" type="noConversion"/>
  <conditionalFormatting sqref="A16:A31">
    <cfRule type="cellIs" dxfId="55" priority="78" operator="equal">
      <formula>"Ahead of schedule"</formula>
    </cfRule>
    <cfRule type="cellIs" dxfId="54" priority="79" operator="equal">
      <formula>"on time"</formula>
    </cfRule>
    <cfRule type="cellIs" dxfId="53" priority="80" operator="equal">
      <formula>"huge delay"</formula>
    </cfRule>
  </conditionalFormatting>
  <conditionalFormatting sqref="A17:A31">
    <cfRule type="cellIs" dxfId="52" priority="802" operator="equal">
      <formula>"delay"</formula>
    </cfRule>
    <cfRule type="cellIs" dxfId="51" priority="803" operator="equal">
      <formula>"lag"</formula>
    </cfRule>
    <cfRule type="cellIs" dxfId="50" priority="805" operator="equal">
      <formula>"overdue"</formula>
    </cfRule>
    <cfRule type="cellIs" dxfId="49" priority="806" operator="equal">
      <formula>"Allowed delay"</formula>
    </cfRule>
    <cfRule type="cellIs" dxfId="48" priority="807" operator="equal">
      <formula>"lead"</formula>
    </cfRule>
    <cfRule type="cellIs" dxfId="47" priority="808" operator="equal">
      <formula>"in progress"</formula>
    </cfRule>
    <cfRule type="cellIs" dxfId="46" priority="809" operator="equal">
      <formula>"delay"</formula>
    </cfRule>
    <cfRule type="cellIs" dxfId="45" priority="810" operator="equal">
      <formula>"done"</formula>
    </cfRule>
    <cfRule type="cellIs" dxfId="44" priority="811" operator="equal">
      <formula>"INPROGRESS"</formula>
    </cfRule>
    <cfRule type="cellIs" dxfId="43" priority="812" operator="equal">
      <formula>"DELAY"</formula>
    </cfRule>
    <cfRule type="cellIs" dxfId="42" priority="813" operator="equal">
      <formula>"DONE"</formula>
    </cfRule>
    <cfRule type="cellIs" dxfId="41" priority="814" operator="equal">
      <formula>"INPROGRESS"</formula>
    </cfRule>
  </conditionalFormatting>
  <conditionalFormatting sqref="A11:B15">
    <cfRule type="cellIs" dxfId="40" priority="1175" operator="equal">
      <formula>"Ahead of schedule"</formula>
    </cfRule>
    <cfRule type="cellIs" dxfId="39" priority="1176" operator="equal">
      <formula>"on time"</formula>
    </cfRule>
    <cfRule type="cellIs" dxfId="38" priority="1177" operator="equal">
      <formula>"huge delay"</formula>
    </cfRule>
  </conditionalFormatting>
  <conditionalFormatting sqref="A32:B1048576">
    <cfRule type="cellIs" dxfId="37" priority="1" operator="equal">
      <formula>"Ahead of schedule"</formula>
    </cfRule>
    <cfRule type="cellIs" dxfId="36" priority="2" operator="equal">
      <formula>"on time"</formula>
    </cfRule>
    <cfRule type="cellIs" dxfId="35" priority="3" operator="equal">
      <formula>"huge delay"</formula>
    </cfRule>
  </conditionalFormatting>
  <conditionalFormatting sqref="B10">
    <cfRule type="cellIs" dxfId="34" priority="1162" operator="equal">
      <formula>"Good"</formula>
    </cfRule>
    <cfRule type="cellIs" dxfId="33" priority="1164" operator="equal">
      <formula>"Critical"</formula>
    </cfRule>
    <cfRule type="cellIs" dxfId="32" priority="1165" operator="equal">
      <formula>"Bad"</formula>
    </cfRule>
    <cfRule type="cellIs" dxfId="31" priority="1166" operator="equal">
      <formula>"optimum"</formula>
    </cfRule>
    <cfRule type="cellIs" dxfId="30" priority="1167" operator="equal">
      <formula>0</formula>
    </cfRule>
    <cfRule type="dataBar" priority="1168">
      <dataBar>
        <cfvo type="num" val="0"/>
        <cfvo type="num" val="1"/>
        <color rgb="FF5BD4FF"/>
      </dataBar>
      <extLst>
        <ext xmlns:x14="http://schemas.microsoft.com/office/spreadsheetml/2009/9/main" uri="{B025F937-C7B1-47D3-B67F-A62EFF666E3E}">
          <x14:id>{FCE9AFD0-CBEC-4BC1-ADAD-4302D92ED3DC}</x14:id>
        </ext>
      </extLst>
    </cfRule>
  </conditionalFormatting>
  <conditionalFormatting sqref="D10:H10">
    <cfRule type="dataBar" priority="1169">
      <dataBar>
        <cfvo type="num" val="0"/>
        <cfvo type="num" val="1"/>
        <color rgb="FF4BFF9C"/>
      </dataBar>
      <extLst>
        <ext xmlns:x14="http://schemas.microsoft.com/office/spreadsheetml/2009/9/main" uri="{B025F937-C7B1-47D3-B67F-A62EFF666E3E}">
          <x14:id>{604689A0-11B2-4636-BD15-EFE826204D08}</x14:id>
        </ext>
      </extLst>
    </cfRule>
  </conditionalFormatting>
  <conditionalFormatting sqref="H17">
    <cfRule type="dataBar" priority="1178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{2DFB7ECF-185B-44F3-8362-7FC66263F7CD}</x14:id>
        </ext>
      </extLst>
    </cfRule>
    <cfRule type="dataBar" priority="1179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{CA1B4BB6-DD3D-4772-A2CC-F89DB27221C3}</x14:id>
        </ext>
      </extLst>
    </cfRule>
    <cfRule type="dataBar" priority="1180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{E79C7208-F1F9-4027-AE0A-339C9D2A1DBF}</x14:id>
        </ext>
      </extLst>
    </cfRule>
    <cfRule type="dataBar" priority="118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{927EADE3-C659-454B-98E0-B9DC5A46536A}</x14:id>
        </ext>
      </extLst>
    </cfRule>
    <cfRule type="dataBar" priority="118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{E83DEB2B-EF26-4CB3-9908-C7F9D6F3F55E}</x14:id>
        </ext>
      </extLst>
    </cfRule>
    <cfRule type="dataBar" priority="118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{08A0AE23-D85E-4003-9543-BAD08A21BF92}</x14:id>
        </ext>
      </extLst>
    </cfRule>
    <cfRule type="dataBar" priority="118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{5DD9E690-8E73-4550-B189-41C6C14351F1}</x14:id>
        </ext>
      </extLst>
    </cfRule>
    <cfRule type="dataBar" priority="1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{8EC074E6-B4FD-448D-84A2-B651B50F56D2}</x14:id>
        </ext>
      </extLst>
    </cfRule>
  </conditionalFormatting>
  <conditionalFormatting sqref="H18:H31">
    <cfRule type="dataBar" priority="1216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{3F503D50-2DC7-4EE4-BEEE-39DA2FA3803C}</x14:id>
        </ext>
      </extLst>
    </cfRule>
    <cfRule type="dataBar" priority="1217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{F0FD8441-D55B-41E0-84F9-1B1812BD9345}</x14:id>
        </ext>
      </extLst>
    </cfRule>
    <cfRule type="dataBar" priority="1218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{0326F6C8-0C2C-4781-89DD-D86A5571A870}</x14:id>
        </ext>
      </extLst>
    </cfRule>
    <cfRule type="dataBar" priority="121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{9292068D-D098-4985-B184-DC1306E58972}</x14:id>
        </ext>
      </extLst>
    </cfRule>
    <cfRule type="dataBar" priority="1220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{6494B70D-57FF-4F2E-83CB-30B5557EA69B}</x14:id>
        </ext>
      </extLst>
    </cfRule>
    <cfRule type="dataBar" priority="122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{CB4A0BA8-7911-4B62-AEC5-BB77157902BE}</x14:id>
        </ext>
      </extLst>
    </cfRule>
    <cfRule type="dataBar" priority="122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{4FEC7E83-631F-4035-A808-7D86BB702446}</x14:id>
        </ext>
      </extLst>
    </cfRule>
    <cfRule type="dataBar" priority="1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{67BA6343-AB9C-40D3-A82A-AE02AEA167CB}</x14:id>
        </ext>
      </extLst>
    </cfRule>
  </conditionalFormatting>
  <conditionalFormatting sqref="I10:J10">
    <cfRule type="dataBar" priority="570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{145AE216-11D1-4FDF-954C-A9DCEA123B49}</x14:id>
        </ext>
      </extLst>
    </cfRule>
  </conditionalFormatting>
  <printOptions horizontalCentered="1"/>
  <pageMargins left="0" right="0" top="0.1" bottom="0" header="0" footer="0"/>
  <pageSetup paperSize="9" scale="15" orientation="portrait" horizontalDpi="2400" verticalDpi="2400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AFD0-CBEC-4BC1-ADAD-4302D92ED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604689A0-11B2-4636-BD15-EFE82620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D10:H10</xm:sqref>
        </x14:conditionalFormatting>
        <x14:conditionalFormatting xmlns:xm="http://schemas.microsoft.com/office/excel/2006/main">
          <x14:cfRule type="dataBar" id="{2DFB7ECF-185B-44F3-8362-7FC66263F7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B4BB6-DD3D-4772-A2CC-F89DB2722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C7208-F1F9-4027-AE0A-339C9D2A1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EADE3-C659-454B-98E0-B9DC5A46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DEB2B-EF26-4CB3-9908-C7F9D6F3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AE23-D85E-4003-9543-BAD08A21B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9E690-8E73-4550-B189-41C6C143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074E6-B4FD-448D-84A2-B651B50F56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3F503D50-2DC7-4EE4-BEEE-39DA2FA3803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D8441-D55B-41E0-84F9-1B1812BD9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6F6C8-0C2C-4781-89DD-D86A5571A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2068D-D098-4985-B184-DC1306E58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4B70D-57FF-4F2E-83CB-30B5557EA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A0BA8-7911-4B62-AEC5-BB7715790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EC7E83-631F-4035-A808-7D86BB702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A6343-AB9C-40D3-A82A-AE02AEA167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H18:H31</xm:sqref>
        </x14:conditionalFormatting>
        <x14:conditionalFormatting xmlns:xm="http://schemas.microsoft.com/office/excel/2006/main">
          <x14:cfRule type="dataBar" id="{145AE216-11D1-4FDF-954C-A9DCEA123B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I10:J10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DCE0-B822-4FF8-8EBC-2E0BE1C506EF}">
  <dimension ref="A1:D15"/>
  <sheetViews>
    <sheetView workbookViewId="0">
      <selection activeCell="D1" sqref="D1:D5"/>
    </sheetView>
  </sheetViews>
  <sheetFormatPr defaultRowHeight="14.25" x14ac:dyDescent="0.45"/>
  <sheetData>
    <row r="1" spans="1:4" x14ac:dyDescent="0.45">
      <c r="A1" t="s">
        <v>73</v>
      </c>
      <c r="D1" t="s">
        <v>77</v>
      </c>
    </row>
    <row r="3" spans="1:4" x14ac:dyDescent="0.45">
      <c r="A3" t="s">
        <v>74</v>
      </c>
    </row>
    <row r="4" spans="1:4" x14ac:dyDescent="0.45">
      <c r="A4" t="s">
        <v>73</v>
      </c>
      <c r="D4" t="s">
        <v>77</v>
      </c>
    </row>
    <row r="5" spans="1:4" x14ac:dyDescent="0.45">
      <c r="A5" t="s">
        <v>73</v>
      </c>
      <c r="D5" t="s">
        <v>73</v>
      </c>
    </row>
    <row r="6" spans="1:4" x14ac:dyDescent="0.45">
      <c r="A6" t="s">
        <v>75</v>
      </c>
    </row>
    <row r="7" spans="1:4" x14ac:dyDescent="0.45">
      <c r="A7" t="s">
        <v>76</v>
      </c>
    </row>
    <row r="8" spans="1:4" x14ac:dyDescent="0.45">
      <c r="A8" t="s">
        <v>76</v>
      </c>
    </row>
    <row r="9" spans="1:4" x14ac:dyDescent="0.45">
      <c r="A9" t="s">
        <v>76</v>
      </c>
    </row>
    <row r="10" spans="1:4" x14ac:dyDescent="0.45">
      <c r="A10" t="s">
        <v>76</v>
      </c>
    </row>
    <row r="11" spans="1:4" x14ac:dyDescent="0.45">
      <c r="A11" t="s">
        <v>76</v>
      </c>
    </row>
    <row r="12" spans="1:4" x14ac:dyDescent="0.45">
      <c r="A12" t="s">
        <v>76</v>
      </c>
    </row>
    <row r="13" spans="1:4" x14ac:dyDescent="0.45">
      <c r="A13" t="s">
        <v>76</v>
      </c>
    </row>
    <row r="14" spans="1:4" x14ac:dyDescent="0.45">
      <c r="A14" t="s">
        <v>76</v>
      </c>
    </row>
    <row r="15" spans="1:4" x14ac:dyDescent="0.45">
      <c r="A1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1269-87D4-43F9-8115-69C3D16A82FB}">
  <dimension ref="A1:I16"/>
  <sheetViews>
    <sheetView tabSelected="1" workbookViewId="0">
      <selection activeCell="D10" sqref="D10"/>
    </sheetView>
  </sheetViews>
  <sheetFormatPr defaultRowHeight="14.25" x14ac:dyDescent="0.45"/>
  <cols>
    <col min="1" max="1" width="8.86328125" bestFit="1" customWidth="1"/>
    <col min="2" max="2" width="23.265625" bestFit="1" customWidth="1"/>
    <col min="3" max="3" width="13.06640625" bestFit="1" customWidth="1"/>
    <col min="4" max="4" width="11.19921875" bestFit="1" customWidth="1"/>
    <col min="5" max="5" width="13.33203125" bestFit="1" customWidth="1"/>
    <col min="6" max="6" width="10.19921875" bestFit="1" customWidth="1"/>
    <col min="7" max="7" width="11.9296875" bestFit="1" customWidth="1"/>
    <col min="8" max="8" width="9.46484375" bestFit="1" customWidth="1"/>
    <col min="9" max="9" width="158.1328125" bestFit="1" customWidth="1"/>
  </cols>
  <sheetData>
    <row r="1" spans="1:9" x14ac:dyDescent="0.45">
      <c r="A1" s="96" t="s">
        <v>7</v>
      </c>
      <c r="B1" s="96" t="s">
        <v>15</v>
      </c>
      <c r="C1" s="96" t="s">
        <v>8</v>
      </c>
      <c r="D1" s="96" t="s">
        <v>9</v>
      </c>
      <c r="E1" s="96" t="s">
        <v>71</v>
      </c>
      <c r="F1" s="96" t="s">
        <v>10</v>
      </c>
      <c r="G1" s="96" t="s">
        <v>72</v>
      </c>
      <c r="H1" s="96" t="s">
        <v>11</v>
      </c>
      <c r="I1" s="96" t="s">
        <v>29</v>
      </c>
    </row>
    <row r="2" spans="1:9" x14ac:dyDescent="0.45">
      <c r="A2" s="96" t="s">
        <v>26</v>
      </c>
      <c r="B2" s="96" t="s">
        <v>45</v>
      </c>
      <c r="C2" s="96" t="s">
        <v>39</v>
      </c>
      <c r="D2" s="96" t="s">
        <v>50</v>
      </c>
      <c r="E2" s="96" t="s">
        <v>73</v>
      </c>
      <c r="F2" s="96" t="s">
        <v>68</v>
      </c>
      <c r="G2" s="96" t="s">
        <v>77</v>
      </c>
      <c r="H2" s="96">
        <v>1</v>
      </c>
      <c r="I2" s="96"/>
    </row>
    <row r="3" spans="1:9" x14ac:dyDescent="0.45">
      <c r="A3" s="96" t="s">
        <v>26</v>
      </c>
      <c r="B3" s="96" t="s">
        <v>46</v>
      </c>
      <c r="C3" s="96" t="s">
        <v>35</v>
      </c>
      <c r="D3" s="96" t="s">
        <v>61</v>
      </c>
      <c r="E3" s="96"/>
      <c r="F3" s="96"/>
      <c r="G3" s="96"/>
      <c r="H3" s="96">
        <v>0.5</v>
      </c>
      <c r="I3" s="96" t="s">
        <v>69</v>
      </c>
    </row>
    <row r="4" spans="1:9" x14ac:dyDescent="0.45">
      <c r="A4" s="96" t="s">
        <v>26</v>
      </c>
      <c r="B4" s="96" t="s">
        <v>47</v>
      </c>
      <c r="C4" s="96" t="s">
        <v>63</v>
      </c>
      <c r="D4" s="96" t="s">
        <v>48</v>
      </c>
      <c r="E4" s="96" t="s">
        <v>74</v>
      </c>
      <c r="F4" s="96"/>
      <c r="G4" s="96"/>
      <c r="H4" s="96">
        <v>0.5</v>
      </c>
      <c r="I4" s="96" t="s">
        <v>70</v>
      </c>
    </row>
    <row r="5" spans="1:9" x14ac:dyDescent="0.45">
      <c r="A5" s="96" t="s">
        <v>26</v>
      </c>
      <c r="B5" s="96" t="s">
        <v>49</v>
      </c>
      <c r="C5" s="96" t="s">
        <v>39</v>
      </c>
      <c r="D5" s="96" t="s">
        <v>50</v>
      </c>
      <c r="E5" s="96" t="s">
        <v>73</v>
      </c>
      <c r="F5" s="96" t="s">
        <v>68</v>
      </c>
      <c r="G5" s="96" t="s">
        <v>77</v>
      </c>
      <c r="H5" s="96">
        <v>1</v>
      </c>
      <c r="I5" s="96"/>
    </row>
    <row r="6" spans="1:9" x14ac:dyDescent="0.45">
      <c r="A6" s="96" t="s">
        <v>26</v>
      </c>
      <c r="B6" s="96" t="s">
        <v>62</v>
      </c>
      <c r="C6" s="96" t="s">
        <v>36</v>
      </c>
      <c r="D6" s="96" t="s">
        <v>50</v>
      </c>
      <c r="E6" s="96" t="s">
        <v>73</v>
      </c>
      <c r="F6" s="96" t="s">
        <v>50</v>
      </c>
      <c r="G6" s="96" t="s">
        <v>73</v>
      </c>
      <c r="H6" s="96">
        <v>1</v>
      </c>
      <c r="I6" s="96"/>
    </row>
    <row r="7" spans="1:9" x14ac:dyDescent="0.45">
      <c r="A7" s="96" t="s">
        <v>26</v>
      </c>
      <c r="B7" s="96" t="s">
        <v>51</v>
      </c>
      <c r="C7" s="96" t="s">
        <v>36</v>
      </c>
      <c r="D7" s="96" t="s">
        <v>43</v>
      </c>
      <c r="E7" s="96" t="s">
        <v>75</v>
      </c>
      <c r="F7" s="96"/>
      <c r="G7" s="96"/>
      <c r="H7" s="96">
        <v>0</v>
      </c>
      <c r="I7" s="96"/>
    </row>
    <row r="8" spans="1:9" x14ac:dyDescent="0.45">
      <c r="A8" s="96" t="s">
        <v>26</v>
      </c>
      <c r="B8" s="96" t="s">
        <v>64</v>
      </c>
      <c r="C8" s="96" t="s">
        <v>35</v>
      </c>
      <c r="D8" s="96" t="s">
        <v>52</v>
      </c>
      <c r="E8" s="96" t="s">
        <v>76</v>
      </c>
      <c r="F8" s="96"/>
      <c r="G8" s="96"/>
      <c r="H8" s="96">
        <v>0</v>
      </c>
      <c r="I8" s="96"/>
    </row>
    <row r="9" spans="1:9" x14ac:dyDescent="0.45">
      <c r="A9" s="96" t="s">
        <v>26</v>
      </c>
      <c r="B9" s="96" t="s">
        <v>53</v>
      </c>
      <c r="C9" s="96" t="s">
        <v>36</v>
      </c>
      <c r="D9" s="96" t="s">
        <v>52</v>
      </c>
      <c r="E9" s="96" t="s">
        <v>76</v>
      </c>
      <c r="F9" s="96"/>
      <c r="G9" s="96"/>
      <c r="H9" s="96">
        <v>0</v>
      </c>
      <c r="I9" s="96"/>
    </row>
    <row r="10" spans="1:9" x14ac:dyDescent="0.45">
      <c r="A10" s="96" t="s">
        <v>26</v>
      </c>
      <c r="B10" s="96" t="s">
        <v>54</v>
      </c>
      <c r="C10" s="96" t="s">
        <v>28</v>
      </c>
      <c r="D10" s="96" t="s">
        <v>52</v>
      </c>
      <c r="E10" s="96" t="s">
        <v>76</v>
      </c>
      <c r="F10" s="96"/>
      <c r="G10" s="96"/>
      <c r="H10" s="96">
        <v>0</v>
      </c>
      <c r="I10" s="96"/>
    </row>
    <row r="11" spans="1:9" x14ac:dyDescent="0.45">
      <c r="A11" s="96" t="s">
        <v>26</v>
      </c>
      <c r="B11" s="96" t="s">
        <v>55</v>
      </c>
      <c r="C11" s="96" t="s">
        <v>56</v>
      </c>
      <c r="D11" s="96" t="s">
        <v>52</v>
      </c>
      <c r="E11" s="96" t="s">
        <v>76</v>
      </c>
      <c r="F11" s="96"/>
      <c r="G11" s="96"/>
      <c r="H11" s="96">
        <v>0</v>
      </c>
      <c r="I11" s="96"/>
    </row>
    <row r="12" spans="1:9" x14ac:dyDescent="0.45">
      <c r="A12" s="96" t="s">
        <v>26</v>
      </c>
      <c r="B12" s="96" t="s">
        <v>57</v>
      </c>
      <c r="C12" s="96" t="s">
        <v>39</v>
      </c>
      <c r="D12" s="96" t="s">
        <v>52</v>
      </c>
      <c r="E12" s="96" t="s">
        <v>76</v>
      </c>
      <c r="F12" s="96"/>
      <c r="G12" s="96"/>
      <c r="H12" s="96">
        <v>0</v>
      </c>
      <c r="I12" s="96"/>
    </row>
    <row r="13" spans="1:9" x14ac:dyDescent="0.45">
      <c r="A13" s="96" t="s">
        <v>26</v>
      </c>
      <c r="B13" s="96" t="s">
        <v>58</v>
      </c>
      <c r="C13" s="96" t="s">
        <v>36</v>
      </c>
      <c r="D13" s="96" t="s">
        <v>52</v>
      </c>
      <c r="E13" s="96" t="s">
        <v>76</v>
      </c>
      <c r="F13" s="96"/>
      <c r="G13" s="96"/>
      <c r="H13" s="96">
        <v>0</v>
      </c>
      <c r="I13" s="96"/>
    </row>
    <row r="14" spans="1:9" x14ac:dyDescent="0.45">
      <c r="A14" s="96" t="s">
        <v>26</v>
      </c>
      <c r="B14" s="96" t="s">
        <v>59</v>
      </c>
      <c r="C14" s="96" t="s">
        <v>38</v>
      </c>
      <c r="D14" s="96" t="s">
        <v>52</v>
      </c>
      <c r="E14" s="96" t="s">
        <v>76</v>
      </c>
      <c r="F14" s="96"/>
      <c r="G14" s="96"/>
      <c r="H14" s="96">
        <v>0</v>
      </c>
      <c r="I14" s="96"/>
    </row>
    <row r="15" spans="1:9" x14ac:dyDescent="0.45">
      <c r="A15" s="96" t="s">
        <v>26</v>
      </c>
      <c r="B15" s="96" t="s">
        <v>60</v>
      </c>
      <c r="C15" s="96" t="s">
        <v>28</v>
      </c>
      <c r="D15" s="96" t="s">
        <v>52</v>
      </c>
      <c r="E15" s="96" t="s">
        <v>76</v>
      </c>
      <c r="F15" s="96"/>
      <c r="G15" s="96"/>
      <c r="H15" s="96">
        <v>0</v>
      </c>
      <c r="I15" s="96"/>
    </row>
    <row r="16" spans="1:9" x14ac:dyDescent="0.45">
      <c r="A16" s="96" t="s">
        <v>26</v>
      </c>
      <c r="B16" s="96" t="s">
        <v>65</v>
      </c>
      <c r="C16" s="96" t="s">
        <v>39</v>
      </c>
      <c r="D16" s="96" t="s">
        <v>52</v>
      </c>
      <c r="E16" s="96" t="s">
        <v>76</v>
      </c>
      <c r="F16" s="96"/>
      <c r="G16" s="96"/>
      <c r="H16" s="96">
        <v>0</v>
      </c>
      <c r="I16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Fidelity Elite</vt:lpstr>
      <vt:lpstr>Sheet2</vt:lpstr>
      <vt:lpstr>Sheet1</vt:lpstr>
      <vt:lpstr>'Fidelity Elite'!Print_Area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2025-10-02T14:02:11Z</dcterms:modified>
</cp:coreProperties>
</file>