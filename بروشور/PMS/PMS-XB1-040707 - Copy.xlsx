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AD9BAA4C-7EFA-43BC-875F-038E3D938EB5}" xr6:coauthVersionLast="47" xr6:coauthVersionMax="47" xr10:uidLastSave="{00000000-0000-0000-0000-000000000000}"/>
  <bookViews>
    <workbookView xWindow="-98" yWindow="-98" windowWidth="20715" windowHeight="13276" firstSheet="1" activeTab="5" xr2:uid="{00000000-000D-0000-FFFF-FFFF00000000}"/>
  </bookViews>
  <sheets>
    <sheet name="data" sheetId="4" state="hidden" r:id="rId1"/>
    <sheet name="Die" sheetId="35" r:id="rId2"/>
    <sheet name="Sheet Die" sheetId="42" r:id="rId3"/>
    <sheet name="Fixture" sheetId="10" r:id="rId4"/>
    <sheet name="Fixture (2)" sheetId="36" r:id="rId5"/>
    <sheet name="Cata" sheetId="37" r:id="rId6"/>
    <sheet name="Sheet Cata" sheetId="43" r:id="rId7"/>
    <sheet name="Flx" sheetId="38" r:id="rId8"/>
    <sheet name="GPF" sheetId="39" r:id="rId9"/>
    <sheet name="Rear muffler" sheetId="40" r:id="rId10"/>
    <sheet name="Sheet5" sheetId="33" state="hidden" r:id="rId11"/>
  </sheets>
  <externalReferences>
    <externalReference r:id="rId12"/>
    <externalReference r:id="rId13"/>
  </externalReferences>
  <definedNames>
    <definedName name="_xlnm._FilterDatabase" localSheetId="5" hidden="1">Cata!$A$11:$AL$19</definedName>
    <definedName name="_xlnm._FilterDatabase" localSheetId="1" hidden="1">Die!$A$9:$AL$19</definedName>
    <definedName name="_xlnm._FilterDatabase" localSheetId="3" hidden="1">Fixture!$A$11:$AL$69</definedName>
    <definedName name="_xlnm._FilterDatabase" localSheetId="4" hidden="1">'Fixture (2)'!$A$11:$AL$53</definedName>
    <definedName name="_xlnm._FilterDatabase" localSheetId="7" hidden="1">Flx!$A$2:$R$21</definedName>
    <definedName name="_xlnm._FilterDatabase" localSheetId="8" hidden="1">GPF!$A$11:$AL$30</definedName>
    <definedName name="_xlnm._FilterDatabase" localSheetId="9" hidden="1">'Rear muffler'!$A$11:$AL$11</definedName>
    <definedName name="_xlnm._FilterDatabase" localSheetId="10" hidden="1">Sheet5!$A$1:$I$267</definedName>
    <definedName name="_xlnm.Print_Area" localSheetId="5">Cata!$A$1:$R$19</definedName>
    <definedName name="_xlnm.Print_Area" localSheetId="1">Die!$A$1:$AC$19</definedName>
    <definedName name="_xlnm.Print_Area" localSheetId="3">Fixture!$A$1:$R$69</definedName>
    <definedName name="_xlnm.Print_Area" localSheetId="4">'Fixture (2)'!$A$1:$R$53</definedName>
    <definedName name="_xlnm.Print_Area" localSheetId="7">Flx!$A$1:$R$21</definedName>
    <definedName name="_xlnm.Print_Area" localSheetId="8">GPF!$A$1:$R$30</definedName>
    <definedName name="_xlnm.Print_Area" localSheetId="9">'Rear muffler'!$A$1:$R$25</definedName>
    <definedName name="_xlnm.Print_Titles" localSheetId="5">Cata!$2:$11</definedName>
    <definedName name="_xlnm.Print_Titles" localSheetId="1">Die!$1:$9</definedName>
    <definedName name="_xlnm.Print_Titles" localSheetId="3">Fixture!$2:$11</definedName>
    <definedName name="_xlnm.Print_Titles" localSheetId="4">'Fixture (2)'!$2:$11</definedName>
    <definedName name="_xlnm.Print_Titles" localSheetId="7">Flx!$2:$11</definedName>
    <definedName name="_xlnm.Print_Titles" localSheetId="8">GPF!$2:$11</definedName>
    <definedName name="_xlnm.Print_Titles" localSheetId="9">'Rear muffler'!$2:$11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40" l="1"/>
  <c r="B21" i="40" s="1"/>
  <c r="Q21" i="40"/>
  <c r="R22" i="39"/>
  <c r="Q22" i="39"/>
  <c r="R25" i="39"/>
  <c r="Q25" i="39"/>
  <c r="R21" i="39"/>
  <c r="Q21" i="39"/>
  <c r="R18" i="39"/>
  <c r="Q18" i="39"/>
  <c r="R26" i="39"/>
  <c r="Q26" i="39"/>
  <c r="R30" i="39"/>
  <c r="Q30" i="39"/>
  <c r="R29" i="39"/>
  <c r="Q29" i="39"/>
  <c r="R28" i="39"/>
  <c r="Q28" i="39"/>
  <c r="R27" i="39"/>
  <c r="Q27" i="39"/>
  <c r="R24" i="39"/>
  <c r="Q24" i="39"/>
  <c r="R23" i="39"/>
  <c r="Q23" i="39"/>
  <c r="R20" i="39"/>
  <c r="Q20" i="39"/>
  <c r="R17" i="39"/>
  <c r="B17" i="39" s="1"/>
  <c r="Q17" i="39"/>
  <c r="R16" i="39"/>
  <c r="B16" i="39" s="1"/>
  <c r="Q16" i="39"/>
  <c r="R22" i="40"/>
  <c r="Q22" i="40"/>
  <c r="R25" i="40"/>
  <c r="Q25" i="40"/>
  <c r="R23" i="40"/>
  <c r="Q23" i="40"/>
  <c r="R20" i="40"/>
  <c r="Q20" i="40"/>
  <c r="R24" i="40"/>
  <c r="Q24" i="40"/>
  <c r="R19" i="40"/>
  <c r="B19" i="40" s="1"/>
  <c r="Q19" i="40"/>
  <c r="R18" i="40"/>
  <c r="B18" i="40" s="1"/>
  <c r="Q18" i="40"/>
  <c r="R17" i="40"/>
  <c r="B17" i="40" s="1"/>
  <c r="Q17" i="40"/>
  <c r="R16" i="40"/>
  <c r="B16" i="40" s="1"/>
  <c r="Q16" i="40"/>
  <c r="R15" i="40"/>
  <c r="B15" i="40" s="1"/>
  <c r="Q15" i="40"/>
  <c r="R13" i="40"/>
  <c r="Q13" i="40"/>
  <c r="R14" i="40"/>
  <c r="B14" i="40" s="1"/>
  <c r="Q14" i="40"/>
  <c r="R20" i="38"/>
  <c r="Q20" i="38"/>
  <c r="R14" i="38"/>
  <c r="B14" i="38" s="1"/>
  <c r="Q14" i="38"/>
  <c r="R17" i="38"/>
  <c r="B17" i="38" s="1"/>
  <c r="Q17" i="38"/>
  <c r="R18" i="38"/>
  <c r="Q13" i="38"/>
  <c r="R13" i="39"/>
  <c r="Q13" i="39"/>
  <c r="L4" i="43" a="1"/>
  <c r="K5" i="43" a="1"/>
  <c r="K7" i="43" a="1"/>
  <c r="K6" i="43" a="1"/>
  <c r="K8" i="43" a="1"/>
  <c r="K4" i="43" a="1"/>
  <c r="H5" i="43" a="1"/>
  <c r="H7" i="43" a="1"/>
  <c r="H9" i="43" a="1"/>
  <c r="H6" i="43" a="1"/>
  <c r="H8" i="43" a="1"/>
  <c r="H10" i="43" a="1"/>
  <c r="H4" i="43" a="1"/>
  <c r="G5" i="43" a="1"/>
  <c r="G7" i="43" a="1"/>
  <c r="G6" i="43" a="1"/>
  <c r="G8" i="43" a="1"/>
  <c r="G4" i="43" a="1"/>
  <c r="L4" i="43" l="1"/>
  <c r="K8" i="43"/>
  <c r="K6" i="43"/>
  <c r="K7" i="43"/>
  <c r="K5" i="43"/>
  <c r="K4" i="43"/>
  <c r="H10" i="43"/>
  <c r="H8" i="43"/>
  <c r="H6" i="43"/>
  <c r="H9" i="43"/>
  <c r="H7" i="43"/>
  <c r="H5" i="43"/>
  <c r="H4" i="43"/>
  <c r="G8" i="43"/>
  <c r="G6" i="43"/>
  <c r="G7" i="43"/>
  <c r="G5" i="43"/>
  <c r="G4" i="43"/>
  <c r="Q11" i="40"/>
  <c r="R11" i="40"/>
  <c r="Q18" i="38"/>
  <c r="B18" i="38" l="1"/>
  <c r="R13" i="38" l="1"/>
  <c r="R19" i="38"/>
  <c r="Q19" i="38"/>
  <c r="R21" i="38"/>
  <c r="Q21" i="38"/>
  <c r="R16" i="38"/>
  <c r="Q16" i="38"/>
  <c r="B22" i="40" l="1"/>
  <c r="B25" i="40"/>
  <c r="B23" i="40"/>
  <c r="B20" i="40"/>
  <c r="B24" i="40"/>
  <c r="B13" i="40"/>
  <c r="R15" i="39"/>
  <c r="B15" i="39" s="1"/>
  <c r="Q15" i="39"/>
  <c r="B22" i="39"/>
  <c r="B25" i="39"/>
  <c r="B21" i="39"/>
  <c r="B18" i="39"/>
  <c r="B26" i="39"/>
  <c r="B30" i="39"/>
  <c r="R14" i="39"/>
  <c r="B14" i="39" s="1"/>
  <c r="Q14" i="39"/>
  <c r="B29" i="39"/>
  <c r="B28" i="39"/>
  <c r="B27" i="39"/>
  <c r="B24" i="39"/>
  <c r="B23" i="39"/>
  <c r="B13" i="39"/>
  <c r="B20" i="39"/>
  <c r="R19" i="39"/>
  <c r="Q19" i="39"/>
  <c r="Q11" i="39" s="1"/>
  <c r="B20" i="38"/>
  <c r="B19" i="38"/>
  <c r="B21" i="38"/>
  <c r="B16" i="38"/>
  <c r="R15" i="38"/>
  <c r="B15" i="38" s="1"/>
  <c r="Q15" i="38"/>
  <c r="Q11" i="38" s="1"/>
  <c r="B13" i="38"/>
  <c r="R16" i="37"/>
  <c r="Q16" i="37"/>
  <c r="R14" i="37"/>
  <c r="B14" i="37" s="1"/>
  <c r="Q14" i="37"/>
  <c r="R19" i="37"/>
  <c r="B19" i="37" s="1"/>
  <c r="Q19" i="37"/>
  <c r="R15" i="37"/>
  <c r="B15" i="37" s="1"/>
  <c r="Q15" i="37"/>
  <c r="R13" i="37"/>
  <c r="B13" i="37" s="1"/>
  <c r="Q13" i="37"/>
  <c r="R18" i="37"/>
  <c r="B18" i="37" s="1"/>
  <c r="Q18" i="37"/>
  <c r="R17" i="37"/>
  <c r="B17" i="37" s="1"/>
  <c r="Q17" i="37"/>
  <c r="R53" i="36"/>
  <c r="B53" i="36" s="1"/>
  <c r="Q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R36" i="36"/>
  <c r="B36" i="36" s="1"/>
  <c r="Q36" i="36"/>
  <c r="R35" i="36"/>
  <c r="B35" i="36" s="1"/>
  <c r="Q35" i="36"/>
  <c r="R34" i="36"/>
  <c r="B34" i="36" s="1"/>
  <c r="Q34" i="36"/>
  <c r="R33" i="36"/>
  <c r="B33" i="36" s="1"/>
  <c r="Q33" i="36"/>
  <c r="R32" i="36"/>
  <c r="B32" i="36" s="1"/>
  <c r="Q32" i="36"/>
  <c r="R31" i="36"/>
  <c r="B31" i="36" s="1"/>
  <c r="Q31" i="36"/>
  <c r="R30" i="36"/>
  <c r="B30" i="36" s="1"/>
  <c r="Q30" i="36"/>
  <c r="R29" i="36"/>
  <c r="B29" i="36" s="1"/>
  <c r="Q29" i="36"/>
  <c r="R28" i="36"/>
  <c r="B28" i="36" s="1"/>
  <c r="Q28" i="36"/>
  <c r="R27" i="36"/>
  <c r="B27" i="36" s="1"/>
  <c r="Q27" i="36"/>
  <c r="R26" i="36"/>
  <c r="B26" i="36" s="1"/>
  <c r="Q26" i="36"/>
  <c r="R25" i="36"/>
  <c r="B25" i="36" s="1"/>
  <c r="Q25" i="36"/>
  <c r="R24" i="36"/>
  <c r="B24" i="36" s="1"/>
  <c r="Q24" i="36"/>
  <c r="R23" i="36"/>
  <c r="B23" i="36" s="1"/>
  <c r="Q23" i="36"/>
  <c r="R22" i="36"/>
  <c r="B22" i="36" s="1"/>
  <c r="Q22" i="36"/>
  <c r="R21" i="36"/>
  <c r="B21" i="36" s="1"/>
  <c r="Q21" i="36"/>
  <c r="R20" i="36"/>
  <c r="B20" i="36" s="1"/>
  <c r="Q20" i="36"/>
  <c r="R19" i="36"/>
  <c r="B19" i="36" s="1"/>
  <c r="Q19" i="36"/>
  <c r="R18" i="36"/>
  <c r="B18" i="36" s="1"/>
  <c r="Q18" i="36"/>
  <c r="R17" i="36"/>
  <c r="B17" i="36" s="1"/>
  <c r="Q17" i="36"/>
  <c r="R16" i="36"/>
  <c r="B16" i="36" s="1"/>
  <c r="Q16" i="36"/>
  <c r="R15" i="36"/>
  <c r="B15" i="36" s="1"/>
  <c r="Q15" i="36"/>
  <c r="R14" i="36"/>
  <c r="B14" i="36" s="1"/>
  <c r="Q14" i="36"/>
  <c r="R13" i="36"/>
  <c r="B13" i="36" s="1"/>
  <c r="Q13" i="36"/>
  <c r="R12" i="36"/>
  <c r="B12" i="36" s="1"/>
  <c r="Q12" i="36"/>
  <c r="H45" i="38"/>
  <c r="G60" i="39"/>
  <c r="H46" i="37"/>
  <c r="H45" i="37"/>
  <c r="G67" i="39"/>
  <c r="H56" i="39"/>
  <c r="H51" i="40"/>
  <c r="G45" i="37"/>
  <c r="G57" i="40"/>
  <c r="H48" i="38"/>
  <c r="H52" i="38"/>
  <c r="G43" i="37"/>
  <c r="G56" i="39"/>
  <c r="H82" i="36"/>
  <c r="H74" i="36"/>
  <c r="H51" i="37"/>
  <c r="H51" i="38"/>
  <c r="G74" i="36"/>
  <c r="H84" i="36"/>
  <c r="H46" i="40"/>
  <c r="G53" i="38"/>
  <c r="G51" i="38"/>
  <c r="H65" i="39"/>
  <c r="H87" i="36"/>
  <c r="G78" i="36"/>
  <c r="H47" i="38"/>
  <c r="G77" i="36"/>
  <c r="H42" i="37"/>
  <c r="G53" i="37"/>
  <c r="H55" i="38"/>
  <c r="G64" i="39"/>
  <c r="G56" i="38"/>
  <c r="G55" i="40"/>
  <c r="H90" i="36"/>
  <c r="H59" i="40"/>
  <c r="H55" i="39"/>
  <c r="H48" i="40"/>
  <c r="H44" i="37"/>
  <c r="G58" i="38"/>
  <c r="G55" i="39"/>
  <c r="H58" i="39"/>
  <c r="H89" i="36"/>
  <c r="G47" i="38"/>
  <c r="H43" i="37"/>
  <c r="G49" i="40"/>
  <c r="G82" i="36"/>
  <c r="H88" i="36"/>
  <c r="G53" i="39"/>
  <c r="H78" i="36"/>
  <c r="H50" i="37"/>
  <c r="G44" i="38"/>
  <c r="G52" i="40"/>
  <c r="G86" i="36"/>
  <c r="G59" i="39"/>
  <c r="H61" i="39"/>
  <c r="H49" i="40"/>
  <c r="G54" i="37"/>
  <c r="G48" i="37"/>
  <c r="G79" i="36"/>
  <c r="G61" i="39"/>
  <c r="G54" i="39"/>
  <c r="G81" i="36"/>
  <c r="G59" i="40"/>
  <c r="H86" i="36"/>
  <c r="G54" i="38"/>
  <c r="H57" i="40"/>
  <c r="G60" i="40"/>
  <c r="G48" i="40"/>
  <c r="G50" i="40"/>
  <c r="H54" i="38"/>
  <c r="G51" i="40"/>
  <c r="G66" i="39"/>
  <c r="G87" i="36"/>
  <c r="H47" i="40"/>
  <c r="G62" i="39"/>
  <c r="H62" i="39"/>
  <c r="H49" i="38"/>
  <c r="G52" i="38"/>
  <c r="H77" i="36"/>
  <c r="H53" i="37"/>
  <c r="G63" i="39"/>
  <c r="H48" i="37"/>
  <c r="H44" i="38"/>
  <c r="H60" i="39"/>
  <c r="H57" i="39"/>
  <c r="H52" i="40"/>
  <c r="G49" i="38"/>
  <c r="G50" i="38"/>
  <c r="H64" i="39"/>
  <c r="H49" i="37"/>
  <c r="G57" i="39"/>
  <c r="G80" i="36"/>
  <c r="H53" i="38"/>
  <c r="G51" i="39"/>
  <c r="G45" i="38"/>
  <c r="H50" i="40"/>
  <c r="G41" i="37"/>
  <c r="H62" i="40"/>
  <c r="H58" i="40"/>
  <c r="G56" i="37"/>
  <c r="H53" i="40"/>
  <c r="G51" i="37"/>
  <c r="G55" i="38"/>
  <c r="G62" i="40"/>
  <c r="G58" i="40"/>
  <c r="H61" i="40"/>
  <c r="H79" i="36"/>
  <c r="G52" i="39"/>
  <c r="G44" i="37"/>
  <c r="H55" i="40"/>
  <c r="G57" i="38"/>
  <c r="G46" i="40"/>
  <c r="H54" i="39"/>
  <c r="H75" i="36"/>
  <c r="H54" i="40"/>
  <c r="H55" i="37"/>
  <c r="H80" i="36"/>
  <c r="G42" i="37"/>
  <c r="H50" i="38"/>
  <c r="G76" i="36"/>
  <c r="H52" i="37"/>
  <c r="H81" i="36"/>
  <c r="G85" i="36"/>
  <c r="G89" i="36"/>
  <c r="H60" i="40"/>
  <c r="G48" i="38"/>
  <c r="H83" i="36"/>
  <c r="H67" i="39"/>
  <c r="G88" i="36"/>
  <c r="H54" i="37"/>
  <c r="H76" i="36"/>
  <c r="G90" i="36"/>
  <c r="G43" i="38"/>
  <c r="H85" i="36"/>
  <c r="H47" i="37"/>
  <c r="H63" i="39"/>
  <c r="G50" i="37"/>
  <c r="H43" i="38"/>
  <c r="H56" i="37"/>
  <c r="H52" i="39"/>
  <c r="H57" i="38"/>
  <c r="G84" i="36"/>
  <c r="H40" i="37"/>
  <c r="H42" i="38"/>
  <c r="H56" i="38"/>
  <c r="G75" i="36"/>
  <c r="G47" i="40"/>
  <c r="G42" i="38"/>
  <c r="G52" i="37"/>
  <c r="G55" i="37"/>
  <c r="G65" i="39"/>
  <c r="G46" i="37"/>
  <c r="G49" i="37"/>
  <c r="H56" i="40"/>
  <c r="H59" i="39"/>
  <c r="H51" i="39"/>
  <c r="G83" i="36"/>
  <c r="G56" i="40"/>
  <c r="G46" i="38"/>
  <c r="H58" i="38"/>
  <c r="G58" i="39"/>
  <c r="G53" i="40"/>
  <c r="H66" i="39"/>
  <c r="G47" i="37"/>
  <c r="H41" i="37"/>
  <c r="H46" i="38"/>
  <c r="G40" i="37"/>
  <c r="H53" i="39"/>
  <c r="G61" i="40"/>
  <c r="G54" i="40"/>
  <c r="R11" i="38" l="1"/>
  <c r="B19" i="39"/>
  <c r="R11" i="39"/>
  <c r="Q11" i="37"/>
  <c r="R11" i="37"/>
  <c r="B16" i="37"/>
  <c r="K6" i="40"/>
  <c r="N6" i="40"/>
  <c r="I52" i="40"/>
  <c r="I60" i="40"/>
  <c r="I47" i="40"/>
  <c r="I55" i="40"/>
  <c r="I50" i="40"/>
  <c r="I58" i="40"/>
  <c r="I53" i="40"/>
  <c r="I61" i="40"/>
  <c r="I48" i="40"/>
  <c r="I56" i="40"/>
  <c r="I51" i="40"/>
  <c r="I59" i="40"/>
  <c r="I46" i="40"/>
  <c r="I54" i="40"/>
  <c r="I62" i="40"/>
  <c r="I49" i="40"/>
  <c r="I57" i="40"/>
  <c r="N6" i="39"/>
  <c r="I57" i="39"/>
  <c r="I65" i="39"/>
  <c r="I52" i="39"/>
  <c r="I60" i="39"/>
  <c r="I55" i="39"/>
  <c r="I63" i="39"/>
  <c r="I58" i="39"/>
  <c r="I66" i="39"/>
  <c r="I53" i="39"/>
  <c r="I61" i="39"/>
  <c r="I56" i="39"/>
  <c r="I64" i="39"/>
  <c r="I51" i="39"/>
  <c r="I59" i="39"/>
  <c r="I67" i="39"/>
  <c r="I54" i="39"/>
  <c r="I62" i="39"/>
  <c r="K6" i="39"/>
  <c r="I46" i="38"/>
  <c r="I54" i="38"/>
  <c r="I48" i="38"/>
  <c r="I56" i="38"/>
  <c r="I49" i="38"/>
  <c r="I57" i="38"/>
  <c r="I44" i="38"/>
  <c r="I52" i="38"/>
  <c r="I47" i="38"/>
  <c r="I55" i="38"/>
  <c r="I51" i="38"/>
  <c r="I42" i="38"/>
  <c r="I50" i="38"/>
  <c r="I58" i="38"/>
  <c r="I43" i="38"/>
  <c r="I45" i="38"/>
  <c r="I53" i="38"/>
  <c r="N6" i="38"/>
  <c r="K6" i="38"/>
  <c r="N6" i="37"/>
  <c r="I46" i="37"/>
  <c r="I54" i="37"/>
  <c r="I41" i="37"/>
  <c r="I44" i="37"/>
  <c r="I52" i="37"/>
  <c r="I47" i="37"/>
  <c r="I55" i="37"/>
  <c r="I49" i="37"/>
  <c r="I42" i="37"/>
  <c r="I50" i="37"/>
  <c r="I45" i="37"/>
  <c r="I53" i="37"/>
  <c r="I40" i="37"/>
  <c r="I48" i="37"/>
  <c r="I56" i="37"/>
  <c r="I43" i="37"/>
  <c r="I51" i="37"/>
  <c r="K6" i="37"/>
  <c r="N6" i="36"/>
  <c r="K6" i="36"/>
  <c r="Q11" i="36"/>
  <c r="I80" i="36"/>
  <c r="I88" i="36"/>
  <c r="I75" i="36"/>
  <c r="I83" i="36"/>
  <c r="I78" i="36"/>
  <c r="I86" i="36"/>
  <c r="I81" i="36"/>
  <c r="I89" i="36"/>
  <c r="I76" i="36"/>
  <c r="I84" i="36"/>
  <c r="I79" i="36"/>
  <c r="I87" i="36"/>
  <c r="I74" i="36"/>
  <c r="I82" i="36"/>
  <c r="I90" i="36"/>
  <c r="I77" i="36"/>
  <c r="I85" i="36"/>
  <c r="R11" i="36"/>
  <c r="R30" i="10"/>
  <c r="R29" i="10"/>
  <c r="R27" i="10"/>
  <c r="R26" i="10"/>
  <c r="R24" i="10"/>
  <c r="R23" i="10"/>
  <c r="R15" i="10"/>
  <c r="R17" i="10" l="1"/>
  <c r="B17" i="10" s="1"/>
  <c r="Q17" i="10"/>
  <c r="AB13" i="35" l="1"/>
  <c r="AC13" i="35"/>
  <c r="AB14" i="35"/>
  <c r="AC14" i="35"/>
  <c r="AB15" i="35"/>
  <c r="AC15" i="35"/>
  <c r="AB12" i="35"/>
  <c r="AC12" i="35"/>
  <c r="B12" i="35" s="1"/>
  <c r="AB16" i="35"/>
  <c r="AC16" i="35"/>
  <c r="AB17" i="35"/>
  <c r="AC17" i="35"/>
  <c r="AB18" i="35"/>
  <c r="AC18" i="35"/>
  <c r="AB19" i="35"/>
  <c r="AC19" i="35"/>
  <c r="B62" i="10"/>
  <c r="B63" i="10"/>
  <c r="B64" i="10"/>
  <c r="B65" i="10"/>
  <c r="B66" i="10"/>
  <c r="B67" i="10"/>
  <c r="B68" i="10"/>
  <c r="B56" i="10"/>
  <c r="B57" i="10"/>
  <c r="B58" i="10"/>
  <c r="B59" i="10"/>
  <c r="B60" i="10"/>
  <c r="B61" i="10"/>
  <c r="B54" i="10"/>
  <c r="B55" i="10"/>
  <c r="B53" i="10"/>
  <c r="B52" i="10"/>
  <c r="R14" i="10"/>
  <c r="B14" i="10" s="1"/>
  <c r="R51" i="10"/>
  <c r="B51" i="10" s="1"/>
  <c r="Q51" i="10"/>
  <c r="Q14" i="10"/>
  <c r="R13" i="10"/>
  <c r="B13" i="10" s="1"/>
  <c r="R69" i="10"/>
  <c r="B69" i="10" s="1"/>
  <c r="Q69" i="10"/>
  <c r="R50" i="10"/>
  <c r="B50" i="10" s="1"/>
  <c r="Q50" i="10"/>
  <c r="R49" i="10"/>
  <c r="B49" i="10" s="1"/>
  <c r="Q49" i="10"/>
  <c r="R48" i="10"/>
  <c r="B48" i="10" s="1"/>
  <c r="Q48" i="10"/>
  <c r="R47" i="10"/>
  <c r="B47" i="10" s="1"/>
  <c r="Q47" i="10"/>
  <c r="Q13" i="10"/>
  <c r="R46" i="10"/>
  <c r="B46" i="10" s="1"/>
  <c r="Q46" i="10"/>
  <c r="R45" i="10"/>
  <c r="B45" i="10" s="1"/>
  <c r="Q45" i="10"/>
  <c r="R44" i="10"/>
  <c r="B44" i="10" s="1"/>
  <c r="Q44" i="10"/>
  <c r="R43" i="10"/>
  <c r="B43" i="10" s="1"/>
  <c r="Q43" i="10"/>
  <c r="R42" i="10"/>
  <c r="B42" i="10" s="1"/>
  <c r="Q42" i="10"/>
  <c r="R41" i="10"/>
  <c r="Q41" i="10"/>
  <c r="R40" i="10"/>
  <c r="B40" i="10" s="1"/>
  <c r="Q40" i="10"/>
  <c r="R39" i="10"/>
  <c r="B39" i="10" s="1"/>
  <c r="Q39" i="10"/>
  <c r="R38" i="10"/>
  <c r="B38" i="10" s="1"/>
  <c r="Q38" i="10"/>
  <c r="R37" i="10"/>
  <c r="B37" i="10" s="1"/>
  <c r="Q37" i="10"/>
  <c r="R12" i="10" l="1"/>
  <c r="Q24" i="10" l="1"/>
  <c r="AC10" i="35" l="1"/>
  <c r="B10" i="35" s="1"/>
  <c r="AB10" i="35"/>
  <c r="B29" i="10" l="1"/>
  <c r="Q29" i="10"/>
  <c r="B27" i="10"/>
  <c r="Q27" i="10"/>
  <c r="B30" i="10"/>
  <c r="Q30" i="10"/>
  <c r="B26" i="10"/>
  <c r="Q26" i="10"/>
  <c r="R35" i="10" l="1"/>
  <c r="B35" i="10" s="1"/>
  <c r="Q35" i="10"/>
  <c r="R31" i="10"/>
  <c r="B31" i="10" s="1"/>
  <c r="Q31" i="10"/>
  <c r="R25" i="10"/>
  <c r="B25" i="10" s="1"/>
  <c r="Q25" i="10"/>
  <c r="A4" i="35" l="1"/>
  <c r="D4" i="35"/>
  <c r="R32" i="10"/>
  <c r="B32" i="10" s="1"/>
  <c r="Q32" i="10"/>
  <c r="B23" i="10"/>
  <c r="Q23" i="10"/>
  <c r="R21" i="10" l="1"/>
  <c r="B21" i="10" s="1"/>
  <c r="Q21" i="10"/>
  <c r="R34" i="10"/>
  <c r="B34" i="10" s="1"/>
  <c r="Q34" i="10"/>
  <c r="R20" i="10"/>
  <c r="B20" i="10" s="1"/>
  <c r="Q20" i="10"/>
  <c r="R19" i="10"/>
  <c r="B19" i="10" s="1"/>
  <c r="Q19" i="10"/>
  <c r="R16" i="10"/>
  <c r="B16" i="10" s="1"/>
  <c r="Q16" i="10"/>
  <c r="B12" i="10"/>
  <c r="Q12" i="10"/>
  <c r="R22" i="10"/>
  <c r="B22" i="10" s="1"/>
  <c r="Q22" i="10"/>
  <c r="R18" i="10"/>
  <c r="Q18" i="10"/>
  <c r="R28" i="10"/>
  <c r="B28" i="10" s="1"/>
  <c r="Q28" i="10"/>
  <c r="B24" i="10"/>
  <c r="R33" i="10"/>
  <c r="B33" i="10" s="1"/>
  <c r="Q33" i="10"/>
  <c r="B15" i="10"/>
  <c r="Q15" i="10"/>
  <c r="B41" i="10"/>
  <c r="R36" i="10"/>
  <c r="Q36" i="10"/>
  <c r="G91" i="10"/>
  <c r="G100" i="10"/>
  <c r="H91" i="10"/>
  <c r="H97" i="10"/>
  <c r="G106" i="10"/>
  <c r="H99" i="10"/>
  <c r="H93" i="10"/>
  <c r="G105" i="10"/>
  <c r="G98" i="10"/>
  <c r="G101" i="10"/>
  <c r="H101" i="10"/>
  <c r="H106" i="10"/>
  <c r="H104" i="10"/>
  <c r="G96" i="10"/>
  <c r="G93" i="10"/>
  <c r="G94" i="10"/>
  <c r="G102" i="10"/>
  <c r="G90" i="10"/>
  <c r="H90" i="10"/>
  <c r="H98" i="10"/>
  <c r="H95" i="10"/>
  <c r="H92" i="10"/>
  <c r="G103" i="10"/>
  <c r="H103" i="10"/>
  <c r="H102" i="10"/>
  <c r="G95" i="10"/>
  <c r="G92" i="10"/>
  <c r="G104" i="10"/>
  <c r="H96" i="10"/>
  <c r="G99" i="10"/>
  <c r="H100" i="10"/>
  <c r="H105" i="10"/>
  <c r="G97" i="10"/>
  <c r="H94" i="10"/>
  <c r="AB9" i="35" l="1"/>
  <c r="AC9" i="35"/>
  <c r="Q11" i="10"/>
  <c r="B18" i="10"/>
  <c r="K6" i="10" s="1"/>
  <c r="R11" i="10"/>
  <c r="B36" i="10"/>
  <c r="N6" i="10" s="1"/>
  <c r="I92" i="10"/>
  <c r="I97" i="10"/>
  <c r="I105" i="10"/>
  <c r="I100" i="10"/>
  <c r="I103" i="10"/>
  <c r="I90" i="10"/>
  <c r="I98" i="10"/>
  <c r="I106" i="10"/>
  <c r="I95" i="10"/>
  <c r="I93" i="10"/>
  <c r="I101" i="10"/>
  <c r="I96" i="10"/>
  <c r="I104" i="10"/>
  <c r="I99" i="10"/>
  <c r="I91" i="10"/>
  <c r="I94" i="10"/>
  <c r="I10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<sst xmlns="http://schemas.openxmlformats.org/spreadsheetml/2006/main" count="3423" uniqueCount="1133">
  <si>
    <t>C-DIE1001</t>
  </si>
  <si>
    <t>C-DIE1002</t>
  </si>
  <si>
    <t>C-DIE1003</t>
  </si>
  <si>
    <t>C-DIE1004</t>
  </si>
  <si>
    <t>C-DIE1005</t>
  </si>
  <si>
    <t>C-DIE1006</t>
  </si>
  <si>
    <t>C-DIE1007</t>
  </si>
  <si>
    <t>C-DIE1008</t>
  </si>
  <si>
    <t>C-DIE1009</t>
  </si>
  <si>
    <t>C-DIE1010</t>
  </si>
  <si>
    <t>C-DIE1011</t>
  </si>
  <si>
    <t>C-DIE1012</t>
  </si>
  <si>
    <t>C-DIE1013</t>
  </si>
  <si>
    <t>C-DIE1014</t>
  </si>
  <si>
    <t>C-DIE1015</t>
  </si>
  <si>
    <t>C-DIE1016</t>
  </si>
  <si>
    <t>C-DIE1017</t>
  </si>
  <si>
    <t>C-DIE1018</t>
  </si>
  <si>
    <t>C-DIE1019</t>
  </si>
  <si>
    <t>C-CF1001</t>
  </si>
  <si>
    <t>ساخت گيج کنترل فلنچ ورودي کاتاليست اول</t>
  </si>
  <si>
    <t>22</t>
  </si>
  <si>
    <t>0</t>
  </si>
  <si>
    <t/>
  </si>
  <si>
    <t>C-CF1002</t>
  </si>
  <si>
    <t>ساخت گيچ کنترل تعامد فلنچ ورودي کاتاليست اول</t>
  </si>
  <si>
    <t>C-CF1003</t>
  </si>
  <si>
    <t>ساخت گيچ کنترل فلنچ خروجي کاتاليست اول</t>
  </si>
  <si>
    <t>21</t>
  </si>
  <si>
    <t>C-CF1004</t>
  </si>
  <si>
    <t>ساخت  گيچ کنترل تعامد فلنچ خروجي کاتاليست اول</t>
  </si>
  <si>
    <t>20</t>
  </si>
  <si>
    <t>C-CF1005</t>
  </si>
  <si>
    <t>ساخت  فيکسچر کنترل آويز هاي لوله فلکسيبل دار</t>
  </si>
  <si>
    <t>19</t>
  </si>
  <si>
    <t>C-CF1006</t>
  </si>
  <si>
    <t>ساخت فيکسچر کنترل خم لوله خروجي کاتاليست دوم</t>
  </si>
  <si>
    <t>C-CF1007</t>
  </si>
  <si>
    <t>ساخت فيکسچر کنترل آويز هاي کاتاليست دوم</t>
  </si>
  <si>
    <t>C-CF1008</t>
  </si>
  <si>
    <t>ساخت فيکسچر تست نشتي کاتاليست اول</t>
  </si>
  <si>
    <t>29</t>
  </si>
  <si>
    <t>C-CF1009</t>
  </si>
  <si>
    <t>ساخت فيکسچر تست نشتي کاتاليست دوم</t>
  </si>
  <si>
    <t>31</t>
  </si>
  <si>
    <t>C-CF1010</t>
  </si>
  <si>
    <t>ساخت فيکسچر کنترل نهايي کاتاليست دوم</t>
  </si>
  <si>
    <t>C-CF1011</t>
  </si>
  <si>
    <t>ساخت فيکسچر تست نشتي لوله فلکسيبل دار</t>
  </si>
  <si>
    <t>C-CF1012</t>
  </si>
  <si>
    <t>ساخت فيکسچر کنترل نهايي لوله فلکسيبل دار</t>
  </si>
  <si>
    <t>C-CF1013</t>
  </si>
  <si>
    <t>پايان ساخت فيکسچر هاي کنترلي</t>
  </si>
  <si>
    <t>ساخت قالب کوتر مونوليت کاتاليست اول</t>
  </si>
  <si>
    <t>25</t>
  </si>
  <si>
    <t>56.21</t>
  </si>
  <si>
    <t>شل کاتاليست اول  Oساخت قالب فرم</t>
  </si>
  <si>
    <t>32</t>
  </si>
  <si>
    <t>31.41</t>
  </si>
  <si>
    <t>ساخت قالب درز جوش کاتاليست اول</t>
  </si>
  <si>
    <t>34.66</t>
  </si>
  <si>
    <t>ساخت قالب جازني مونوليت کاتاليست اول</t>
  </si>
  <si>
    <t>12.21</t>
  </si>
  <si>
    <t>ساخت قالب افزايش قطر دوسر شل کاتاليست اول</t>
  </si>
  <si>
    <t>42</t>
  </si>
  <si>
    <t>4.89</t>
  </si>
  <si>
    <t>ساخت قالب پولک بر بشقابي سايلنسر کاتاليست دوم</t>
  </si>
  <si>
    <t>39</t>
  </si>
  <si>
    <t>ساخت قالب کشش بشقابي کاتاليست دوم</t>
  </si>
  <si>
    <t>ساخت قالب پانچ و دوربر بشقابي سايلنسر کاتاليست دوم</t>
  </si>
  <si>
    <t>ساخت قالب فرم پله انتهايي بشقابي سايلنسر کاتاليست دوم</t>
  </si>
  <si>
    <t>سايلنسر کاتاليست دوم Oساخت قالب فرم</t>
  </si>
  <si>
    <t>سايلنسر کاتاليست دوم Uساخت قالب فرم</t>
  </si>
  <si>
    <t>ساخت قالب درز جوش سايلنسر کاتاليست دوم</t>
  </si>
  <si>
    <t>11</t>
  </si>
  <si>
    <t>ساخت قالب پانچ لوله توري قطر 55 سايلنسر کاتاليست دوم</t>
  </si>
  <si>
    <t>لوله توري قطر 55 کاتاليست دوم  Uساخت قالب فرم</t>
  </si>
  <si>
    <t>28</t>
  </si>
  <si>
    <t>لوله توري قطر 55 کاتاليست دوم Oساخت  قالب فرم</t>
  </si>
  <si>
    <t>ساخت قالب ال سيل</t>
  </si>
  <si>
    <t>6</t>
  </si>
  <si>
    <t>ساخت قالب هاي پوسته ورودي و خروجي</t>
  </si>
  <si>
    <t>120</t>
  </si>
  <si>
    <t>ساخت قالب هاي براکت ها</t>
  </si>
  <si>
    <t>ساخت قالب هاي کاور حرارتي</t>
  </si>
  <si>
    <t>C-DIE1020</t>
  </si>
  <si>
    <t>پايان ساخت قالب هاي مجموعه</t>
  </si>
  <si>
    <t>C-P1001</t>
  </si>
  <si>
    <t>ساخت فيکسچر درز جوش پوسته هاي ورودي کاتاليست اول</t>
  </si>
  <si>
    <t>96.88</t>
  </si>
  <si>
    <t>100</t>
  </si>
  <si>
    <t>C-P1002</t>
  </si>
  <si>
    <t>ساخت فيکسچر مونتاژ فلنچ ورودي به کاسه اي ورودي کاتاليست اول</t>
  </si>
  <si>
    <t>47</t>
  </si>
  <si>
    <t>59.69</t>
  </si>
  <si>
    <t>C-P1003</t>
  </si>
  <si>
    <t>ساخت فيکسچر درز جوش پوسته هاي خروجي کاتاليست اول</t>
  </si>
  <si>
    <t>71.93</t>
  </si>
  <si>
    <t>C-P1004</t>
  </si>
  <si>
    <t>ساخت فيکسچر مونتاژ آويز ها به مجموعه کاتاليست دوم</t>
  </si>
  <si>
    <t>83</t>
  </si>
  <si>
    <t>31.39</t>
  </si>
  <si>
    <t>C-P1005</t>
  </si>
  <si>
    <t>ساخت فيکسچر مونتاژ فلنچ خروجي به کاسه اي خروجي کاتاليست اول</t>
  </si>
  <si>
    <t>53.3</t>
  </si>
  <si>
    <t>C-P1006</t>
  </si>
  <si>
    <t>ساخت فيکسچر مونتاژ مجموعه ورودي و خروجي به کاتاباکس کاتاليست اول</t>
  </si>
  <si>
    <t>54</t>
  </si>
  <si>
    <t>46.39</t>
  </si>
  <si>
    <t>C-P1007</t>
  </si>
  <si>
    <t>ساخت فيکسچر براکت بالايي و پائيني به مجموعه کاتاليست اول</t>
  </si>
  <si>
    <t>33</t>
  </si>
  <si>
    <t>33.49</t>
  </si>
  <si>
    <t>C-P1008</t>
  </si>
  <si>
    <t>ساخت فيکسچر مونتاژ پيچ به فلنچ ورودي کاتاليست دوم</t>
  </si>
  <si>
    <t>C-P1009</t>
  </si>
  <si>
    <t>ساخت فيکسچر مونتاژ فلنچ ورودي به کاسه اي کاتاليست دوم</t>
  </si>
  <si>
    <t>16</t>
  </si>
  <si>
    <t>C-P1010</t>
  </si>
  <si>
    <t>ساخت فيکسچر مونتاژ کاسه اي ورودي و خروجي و لوله پانچ به سايلنسر کاتاليست دوم</t>
  </si>
  <si>
    <t>C-P1011</t>
  </si>
  <si>
    <t>ساخت فيکسچر دورجوش کاسه اي ورودي و خروجي به کاتاليست دوم</t>
  </si>
  <si>
    <t>5</t>
  </si>
  <si>
    <t>C-P1012</t>
  </si>
  <si>
    <t>ساخت فيکسچر دورجوش کاسه اي ورودي و خروجي به سايلنسر کاتاليست دوم</t>
  </si>
  <si>
    <t>27</t>
  </si>
  <si>
    <t>C-P1013</t>
  </si>
  <si>
    <t>ساخت فيکسچر مونتاژ فلنچ خروجي به لوله خروجي و دورجوش دستي کاتاليست دوم</t>
  </si>
  <si>
    <t>C-P1014</t>
  </si>
  <si>
    <t>ساخت فيکسچر مونتاژ آويز و قلاب آويز به مجموعه فلکسيبل دار</t>
  </si>
  <si>
    <t>12</t>
  </si>
  <si>
    <t>C-P1015</t>
  </si>
  <si>
    <t>ساخت فيکسچر مونتاژ فلنچ ورودي به لوله ورودي لوله فلکسيبل دار</t>
  </si>
  <si>
    <t>17</t>
  </si>
  <si>
    <t>C-P1016</t>
  </si>
  <si>
    <t>ساخت فيکسچر مونتاژ فلنچ خروجي به لوله خروجي لوله فلکسيبل دار</t>
  </si>
  <si>
    <t>C-P1017</t>
  </si>
  <si>
    <t>ساخت فيکسچر دورجوش فلنچ به لوله مشترک</t>
  </si>
  <si>
    <t>9</t>
  </si>
  <si>
    <t>C-P1018</t>
  </si>
  <si>
    <t>ساخت فيکسچر سوراخکاري محل مهره سنسور لوله فلکسيبل دار</t>
  </si>
  <si>
    <t>8</t>
  </si>
  <si>
    <t>C-P1019</t>
  </si>
  <si>
    <t>ساخت فيکسچر مونتاژ و دورجوش مهره سنسور لوله فلکسيبل دار</t>
  </si>
  <si>
    <t>C-P1020</t>
  </si>
  <si>
    <t>پايان ساخت فيکسچر هاي مونتاژي</t>
  </si>
  <si>
    <t>Progress Measurement System</t>
  </si>
  <si>
    <t>Preparation of materials</t>
  </si>
  <si>
    <t>previous period
 % Complete</t>
  </si>
  <si>
    <t>Ahead of schedule</t>
  </si>
  <si>
    <t>On time</t>
  </si>
  <si>
    <t>Inprogress</t>
  </si>
  <si>
    <t>Delay</t>
  </si>
  <si>
    <t>Project Name</t>
  </si>
  <si>
    <t>Remaining
(Days)</t>
  </si>
  <si>
    <t>cutting</t>
  </si>
  <si>
    <t>manual machining</t>
  </si>
  <si>
    <t>CNC machining</t>
  </si>
  <si>
    <t>manual milling</t>
  </si>
  <si>
    <t>CNC milling</t>
  </si>
  <si>
    <t>assembly</t>
  </si>
  <si>
    <t xml:space="preserve">    weight</t>
  </si>
  <si>
    <t>1403/10/15</t>
  </si>
  <si>
    <t>1403/6/24</t>
  </si>
  <si>
    <t>1403/6/18</t>
  </si>
  <si>
    <t>1403/7/29</t>
  </si>
  <si>
    <t>1403/7/18</t>
  </si>
  <si>
    <t>1403/5/15</t>
  </si>
  <si>
    <t>1403/5/17</t>
  </si>
  <si>
    <t>1403/7/10</t>
  </si>
  <si>
    <t>1403/6/20</t>
  </si>
  <si>
    <t>طراحی ندارد</t>
  </si>
  <si>
    <t>طراحی دارد</t>
  </si>
  <si>
    <t>design</t>
  </si>
  <si>
    <t>man-hour</t>
  </si>
  <si>
    <t>Activity ID</t>
  </si>
  <si>
    <t>Activity Name</t>
  </si>
  <si>
    <t>Total Float</t>
  </si>
  <si>
    <t>Original Duration</t>
  </si>
  <si>
    <t>Budgeted Labor Units</t>
  </si>
  <si>
    <t>BL Project Start</t>
  </si>
  <si>
    <t>BL Project Finish</t>
  </si>
  <si>
    <t>Start</t>
  </si>
  <si>
    <t>Finish</t>
  </si>
  <si>
    <t>Foton F38</t>
  </si>
  <si>
    <t>0d</t>
  </si>
  <si>
    <t>165d</t>
  </si>
  <si>
    <t>Jul-22-2024</t>
  </si>
  <si>
    <t>Apr-09-2025</t>
  </si>
  <si>
    <t xml:space="preserve">  planning</t>
  </si>
  <si>
    <t>3d</t>
  </si>
  <si>
    <t>89d</t>
  </si>
  <si>
    <t>Dec-04-2024</t>
  </si>
  <si>
    <t xml:space="preserve">    P1</t>
  </si>
  <si>
    <t>دريافت نمونه مرجع از مشتري</t>
  </si>
  <si>
    <t>2d</t>
  </si>
  <si>
    <t>Jul-23-2024</t>
  </si>
  <si>
    <t>1403/5/1</t>
  </si>
  <si>
    <t>1403/5/2</t>
  </si>
  <si>
    <t xml:space="preserve">    P2</t>
  </si>
  <si>
    <t>و انجام تستهاي مشخصه يابي GPF استخراج مونوليت کاتاليست و</t>
  </si>
  <si>
    <t>Aug-03-2024</t>
  </si>
  <si>
    <t>Aug-05-2024</t>
  </si>
  <si>
    <t>1403/5/13</t>
  </si>
  <si>
    <t xml:space="preserve">    P3</t>
  </si>
  <si>
    <t>تهيه آناليز قيمت محصول</t>
  </si>
  <si>
    <t>5d</t>
  </si>
  <si>
    <t>Aug-07-2024</t>
  </si>
  <si>
    <t xml:space="preserve">    P4</t>
  </si>
  <si>
    <t>بروز رساني آناليز قيمت مطابق جلسه برگزار شده</t>
  </si>
  <si>
    <t>1d</t>
  </si>
  <si>
    <t>Sep-08-2024</t>
  </si>
  <si>
    <t xml:space="preserve">    P5</t>
  </si>
  <si>
    <t>برگزاري جلسه مشترک با شرکت بهمن موتور</t>
  </si>
  <si>
    <t>Sep-09-2024</t>
  </si>
  <si>
    <t>1403/6/19</t>
  </si>
  <si>
    <t xml:space="preserve">    P6</t>
  </si>
  <si>
    <t>برگزاري جلسه هفتگي تيم مديريت پروژه</t>
  </si>
  <si>
    <t>1403/9/14</t>
  </si>
  <si>
    <t xml:space="preserve">  Product Design And Development</t>
  </si>
  <si>
    <t>10d</t>
  </si>
  <si>
    <t>135d</t>
  </si>
  <si>
    <t>Jul-24-2024</t>
  </si>
  <si>
    <t>Feb-15-2025</t>
  </si>
  <si>
    <t>GPF ساخت فيکسچر کنترل خم لوله هاي فشار</t>
  </si>
  <si>
    <t>49d</t>
  </si>
  <si>
    <t>Oct-09-2024</t>
  </si>
  <si>
    <t>Oct-13-2024</t>
  </si>
  <si>
    <t>1403/7/22</t>
  </si>
  <si>
    <t xml:space="preserve">    EM 1</t>
  </si>
  <si>
    <t>ساخت فيکسچر نمونه سازي</t>
  </si>
  <si>
    <t>1403/5/3</t>
  </si>
  <si>
    <t xml:space="preserve">    EM 2</t>
  </si>
  <si>
    <t>GPF دريافت نمونه مونوليت</t>
  </si>
  <si>
    <t>30d</t>
  </si>
  <si>
    <t>Sep-14-2024</t>
  </si>
  <si>
    <t>Oct-26-2024</t>
  </si>
  <si>
    <t>1403/8/5</t>
  </si>
  <si>
    <t xml:space="preserve">    EM 3</t>
  </si>
  <si>
    <t>GPF کوتينگ اوليه مونوليت کوت شده کاتاليست و</t>
  </si>
  <si>
    <t>Oct-27-2024</t>
  </si>
  <si>
    <t>Nov-09-2024</t>
  </si>
  <si>
    <t>1403/8/6</t>
  </si>
  <si>
    <t>1403/8/19</t>
  </si>
  <si>
    <t xml:space="preserve">    EM 4</t>
  </si>
  <si>
    <t>CKD کنينک نمونه اوليه مونوليت ها در</t>
  </si>
  <si>
    <t>Nov-10-2024</t>
  </si>
  <si>
    <t>1403/8/20</t>
  </si>
  <si>
    <t xml:space="preserve">    EM 5</t>
  </si>
  <si>
    <t>ISQI ارسال خودرو به مرکز تست</t>
  </si>
  <si>
    <t>Nov-11-2024</t>
  </si>
  <si>
    <t>1403/8/21</t>
  </si>
  <si>
    <t xml:space="preserve">    EM 6</t>
  </si>
  <si>
    <t>ISQI دريافت تائيديه تست آلايندگي از مرکز</t>
  </si>
  <si>
    <t>7d</t>
  </si>
  <si>
    <t>Nov-12-2024</t>
  </si>
  <si>
    <t>Nov-20-2024</t>
  </si>
  <si>
    <t>1403/8/22</t>
  </si>
  <si>
    <t>1403/8/30</t>
  </si>
  <si>
    <t xml:space="preserve">    TA1</t>
  </si>
  <si>
    <t>تعريف محصول بر روي سايت سينا توسط خودروساز</t>
  </si>
  <si>
    <t>14d</t>
  </si>
  <si>
    <t>Nov-27-2024</t>
  </si>
  <si>
    <t>Dec-10-2024</t>
  </si>
  <si>
    <t>1403/9/7</t>
  </si>
  <si>
    <t>1403/9/20</t>
  </si>
  <si>
    <t xml:space="preserve">    TA2</t>
  </si>
  <si>
    <t>TA  اخذ تاييديه</t>
  </si>
  <si>
    <t>60d</t>
  </si>
  <si>
    <t>Dec-11-2024</t>
  </si>
  <si>
    <t>Feb-08-2025</t>
  </si>
  <si>
    <t>1403/9/21</t>
  </si>
  <si>
    <t>1403/11/20</t>
  </si>
  <si>
    <t xml:space="preserve">    TA3</t>
  </si>
  <si>
    <t>به اداره استاندارد TA ارسال نتايج</t>
  </si>
  <si>
    <t>Feb-09-2025</t>
  </si>
  <si>
    <t>1403/11/21</t>
  </si>
  <si>
    <t>1403/11/27</t>
  </si>
  <si>
    <t xml:space="preserve">    Engineering</t>
  </si>
  <si>
    <t>21d</t>
  </si>
  <si>
    <t>38d</t>
  </si>
  <si>
    <t>Sep-29-2024</t>
  </si>
  <si>
    <t>Nov-19-2024</t>
  </si>
  <si>
    <t xml:space="preserve">      EN100</t>
  </si>
  <si>
    <t>GPF اسکن سه بعدي مجموعه کاتاليست و</t>
  </si>
  <si>
    <t>Oct-01-2024</t>
  </si>
  <si>
    <t>1403/7/8</t>
  </si>
  <si>
    <t xml:space="preserve">      EN101</t>
  </si>
  <si>
    <t>مدلسازي کاسه اي کاتاليست</t>
  </si>
  <si>
    <t>Oct-20-2024</t>
  </si>
  <si>
    <t>Oct-22-2024</t>
  </si>
  <si>
    <t>1403/8/1</t>
  </si>
  <si>
    <t xml:space="preserve">      EN102</t>
  </si>
  <si>
    <t>GPF مدلسازي کاسه اي ورودي و خروجي</t>
  </si>
  <si>
    <t>12d</t>
  </si>
  <si>
    <t>Oct-02-2024</t>
  </si>
  <si>
    <t>Oct-19-2024</t>
  </si>
  <si>
    <t>1403/7/11</t>
  </si>
  <si>
    <t>1403/7/28</t>
  </si>
  <si>
    <t xml:space="preserve">      EN103</t>
  </si>
  <si>
    <t>GPF مدلسازي هيت شيلد راست</t>
  </si>
  <si>
    <t>4d</t>
  </si>
  <si>
    <t>Oct-23-2024</t>
  </si>
  <si>
    <t>Oct-28-2024</t>
  </si>
  <si>
    <t>1403/8/2</t>
  </si>
  <si>
    <t>1403/8/7</t>
  </si>
  <si>
    <t xml:space="preserve">      EN104</t>
  </si>
  <si>
    <t>GPF مدلسازي هيت شيلد چپ</t>
  </si>
  <si>
    <t xml:space="preserve">      EN107</t>
  </si>
  <si>
    <t>GPF مدلسازي براکت هاي</t>
  </si>
  <si>
    <t>15d</t>
  </si>
  <si>
    <t>Oct-29-2024</t>
  </si>
  <si>
    <t>Nov-18-2024</t>
  </si>
  <si>
    <t>1403/8/8</t>
  </si>
  <si>
    <t>1403/8/28</t>
  </si>
  <si>
    <t xml:space="preserve">      EN108</t>
  </si>
  <si>
    <t>GPF مدلسازي کاور روي لوله</t>
  </si>
  <si>
    <t xml:space="preserve">      EN109</t>
  </si>
  <si>
    <t>مدلسازي کاورهاي کاتاليست</t>
  </si>
  <si>
    <t xml:space="preserve">      EN110</t>
  </si>
  <si>
    <t>مدلسازي براکت هاي جديد اضافه شده کاتاليست</t>
  </si>
  <si>
    <t>16d</t>
  </si>
  <si>
    <t>1403/8/29</t>
  </si>
  <si>
    <t xml:space="preserve">    Procurment</t>
  </si>
  <si>
    <t>69d</t>
  </si>
  <si>
    <t>Sep-10-2024</t>
  </si>
  <si>
    <t>Dec-16-2024</t>
  </si>
  <si>
    <t xml:space="preserve">      Pro101</t>
  </si>
  <si>
    <t>تعريف کد و ثبت درخواست خريد قالب ها</t>
  </si>
  <si>
    <t xml:space="preserve">      Pro102</t>
  </si>
  <si>
    <t>ثبت درخواست و کميسيون خريد الياف سراميکي</t>
  </si>
  <si>
    <t>8d</t>
  </si>
  <si>
    <t>Dec-07-2024</t>
  </si>
  <si>
    <t>1403/9/17</t>
  </si>
  <si>
    <t>1403/9/26</t>
  </si>
  <si>
    <t xml:space="preserve">      Pro103</t>
  </si>
  <si>
    <t>ثبت درخواست و کميسيون خريد فلنچ ها</t>
  </si>
  <si>
    <t xml:space="preserve">      Pro104</t>
  </si>
  <si>
    <t>ثبت درخواست و کميسيون خريد بست کمربندي از پيمانکاران</t>
  </si>
  <si>
    <t xml:space="preserve">      Pro105</t>
  </si>
  <si>
    <t>ثبت درخواست وکميسيون خريد پيچ ها</t>
  </si>
  <si>
    <t xml:space="preserve">      Pro106</t>
  </si>
  <si>
    <t>ثبت درخواست و کميسيون خريد لوله هاي فشار</t>
  </si>
  <si>
    <t xml:space="preserve">      Pro107</t>
  </si>
  <si>
    <t>GPF ثبت درخواست خريد مونوليت و مت</t>
  </si>
  <si>
    <t>Sep-13-2024</t>
  </si>
  <si>
    <t>1403/6/23</t>
  </si>
  <si>
    <t xml:space="preserve">      Pro108</t>
  </si>
  <si>
    <t>ثبت درخواست و کميسيون خريد شلنگ نخ دار</t>
  </si>
  <si>
    <t xml:space="preserve">      Pro109</t>
  </si>
  <si>
    <t>ثبت درخواست و کميسيون خريد بست شاخکدار</t>
  </si>
  <si>
    <t xml:space="preserve">      Pro110</t>
  </si>
  <si>
    <t>تعريف کد و ثبت درخواست خريد فيکسچر دورجوش کاتاليست</t>
  </si>
  <si>
    <t>11d</t>
  </si>
  <si>
    <t>Dec-09-2024</t>
  </si>
  <si>
    <t>1403/9/19</t>
  </si>
  <si>
    <t xml:space="preserve">      Pro111</t>
  </si>
  <si>
    <t>ثبت درخواست خريد و تامين مهره سنسور و فتينگ</t>
  </si>
  <si>
    <t xml:space="preserve">    Contracts</t>
  </si>
  <si>
    <t>9d</t>
  </si>
  <si>
    <t>28d</t>
  </si>
  <si>
    <t>Dec-25-2024</t>
  </si>
  <si>
    <t xml:space="preserve">      PD21</t>
  </si>
  <si>
    <t>انعقاد قرارداد با پيمانکار سازنده قالب ها</t>
  </si>
  <si>
    <t>Nov-26-2024</t>
  </si>
  <si>
    <t>1403/9/6</t>
  </si>
  <si>
    <t xml:space="preserve">      PD22</t>
  </si>
  <si>
    <t>انعقاد قرارداد با پيمانکار سازنده فيکسچر هاي دورجوش</t>
  </si>
  <si>
    <t>Dec-23-2024</t>
  </si>
  <si>
    <t>1403/10/3</t>
  </si>
  <si>
    <t xml:space="preserve">      PD23</t>
  </si>
  <si>
    <t>انعقاد قرارداد تامين لوله هاي فشار</t>
  </si>
  <si>
    <t>Dec-17-2024</t>
  </si>
  <si>
    <t>1403/9/27</t>
  </si>
  <si>
    <t>1403/10/5</t>
  </si>
  <si>
    <t xml:space="preserve">      PD24</t>
  </si>
  <si>
    <t>انعقاد قرارداد تامين بست کمربندي</t>
  </si>
  <si>
    <t xml:space="preserve">      PD26</t>
  </si>
  <si>
    <t>انعقاد قرارداد تامين فلنچ هاي ورودي و خروجي</t>
  </si>
  <si>
    <t xml:space="preserve">      PD36</t>
  </si>
  <si>
    <t>انعقاد قرارداد با شرکت بهمن موتور</t>
  </si>
  <si>
    <t>Nov-23-2024</t>
  </si>
  <si>
    <t>1403/9/3</t>
  </si>
  <si>
    <t xml:space="preserve">  Process Design And Development</t>
  </si>
  <si>
    <t>108d</t>
  </si>
  <si>
    <t>Apr-07-2025</t>
  </si>
  <si>
    <t xml:space="preserve">    Die</t>
  </si>
  <si>
    <t>92d</t>
  </si>
  <si>
    <t>Mar-01-2025</t>
  </si>
  <si>
    <t xml:space="preserve">      Die Design</t>
  </si>
  <si>
    <t>58d</t>
  </si>
  <si>
    <t>56d</t>
  </si>
  <si>
    <t>Dec-24-2024</t>
  </si>
  <si>
    <t xml:space="preserve">        GPF Cone(Inlet&amp;Outlet)</t>
  </si>
  <si>
    <t>48d</t>
  </si>
  <si>
    <t>43d</t>
  </si>
  <si>
    <t>Dec-08-2024</t>
  </si>
  <si>
    <t>GPF طراحي قالب برش بلنک کاسه اي ورودي و خروجي</t>
  </si>
  <si>
    <t>Dec-02-2024</t>
  </si>
  <si>
    <t>Dec-03-2024</t>
  </si>
  <si>
    <t>1403/9/12</t>
  </si>
  <si>
    <t>1403/9/13</t>
  </si>
  <si>
    <t>GPF طراحي قالب کشش کاسه اي ورودي و خروجي</t>
  </si>
  <si>
    <t>GPF طراحي قالب دوربر کاسه اي ورودي و خروجي</t>
  </si>
  <si>
    <t>Nov-28-2024</t>
  </si>
  <si>
    <t>1403/9/8</t>
  </si>
  <si>
    <t>GPF طراحي قالب پانچ و يقه کاسه اي ورودي و خروجي</t>
  </si>
  <si>
    <t>Nov-25-2024</t>
  </si>
  <si>
    <t>1403/9/5</t>
  </si>
  <si>
    <t>GPF طراحي قالب پانچ سوراخ مهره فيتينگ کاسه اي ورودي</t>
  </si>
  <si>
    <t>Nov-21-2024</t>
  </si>
  <si>
    <t>1403/9/1</t>
  </si>
  <si>
    <t>GPF طرحي قالب لب برگردان کاسه اي ورودي و خروجي</t>
  </si>
  <si>
    <t>1403/9/18</t>
  </si>
  <si>
    <t xml:space="preserve">        Other</t>
  </si>
  <si>
    <t>52d</t>
  </si>
  <si>
    <t>27d</t>
  </si>
  <si>
    <t>Nov-04-2024</t>
  </si>
  <si>
    <t>Back pressure طراحي قالب تبديل اتصال</t>
  </si>
  <si>
    <t>54d</t>
  </si>
  <si>
    <t>Dec-01-2024</t>
  </si>
  <si>
    <t>1403/9/11</t>
  </si>
  <si>
    <t>L90 شل O اصلاح و طراحي قالب فرم</t>
  </si>
  <si>
    <t>53d</t>
  </si>
  <si>
    <t>1403/8/14</t>
  </si>
  <si>
    <t>GPF طراحي قالب کاتر لبه محل مهره فيتينگ کاور چپ و راست روي شل</t>
  </si>
  <si>
    <t xml:space="preserve">        TWC Cone</t>
  </si>
  <si>
    <t>39d</t>
  </si>
  <si>
    <t>Dec-19-2024</t>
  </si>
  <si>
    <t>طراحي قالب برش بلنک کاسه اي ورودي و خروجي کاتاليست</t>
  </si>
  <si>
    <t>Dec-12-2024</t>
  </si>
  <si>
    <t>1403/9/22</t>
  </si>
  <si>
    <t>طراحي قالب کشش کاسه اي ورودي و خروجي کاتاليست</t>
  </si>
  <si>
    <t>Oct-24-2024</t>
  </si>
  <si>
    <t>1403/8/3</t>
  </si>
  <si>
    <t>طراحي قالب دوربر کاسه اي ورودي و خروجي کاتاليست</t>
  </si>
  <si>
    <t>طراحي قالب پانچ و يقه کاسه اي ورودي و خروجي کاتاليست</t>
  </si>
  <si>
    <t>طراحي قالب لب برگردان کاسه اي ورودي کاتاليست</t>
  </si>
  <si>
    <t>6d</t>
  </si>
  <si>
    <t>1403/9/29</t>
  </si>
  <si>
    <t xml:space="preserve">        GPF Cover</t>
  </si>
  <si>
    <t>24d</t>
  </si>
  <si>
    <t>GPF طراحي قالب کشش کاور چپ و راست روي شل</t>
  </si>
  <si>
    <t>GPFطراحي قالب تريم اول کاور چپ و راست روي شل</t>
  </si>
  <si>
    <t>GPFطراحي قالب پانچ دوسر کاور چپ و راست روي شل</t>
  </si>
  <si>
    <t>GPF طراحي قالب پانچ محل بست کمربندي کاور چپ و راست روي شل</t>
  </si>
  <si>
    <t>Oct-30-2024</t>
  </si>
  <si>
    <t>1403/8/9</t>
  </si>
  <si>
    <t>GPF طراحي قالب پانچ محل مهره فيتينگ کاور چپ روي شل</t>
  </si>
  <si>
    <t>GPF طراحي قالب پانچ محل مهره فيتينگ کاور راست روي شل</t>
  </si>
  <si>
    <t xml:space="preserve">        Brackets</t>
  </si>
  <si>
    <t>GPF طراحي قالب خم براکت روي شل</t>
  </si>
  <si>
    <t>GPFشکلL طراحي قالب خم براکت</t>
  </si>
  <si>
    <t>GPF طراحي قالب خم براکت لوله هاي فشار هوا</t>
  </si>
  <si>
    <t>طراحي قالب خم براکت بزرگ کاتاليست</t>
  </si>
  <si>
    <t>Dec-22-2024</t>
  </si>
  <si>
    <t>1403/10/2</t>
  </si>
  <si>
    <t>1403/10/4</t>
  </si>
  <si>
    <t>طراحي قالب خم براکت کوچک کاتاليست</t>
  </si>
  <si>
    <t>طراحي قالب خم براکت ورودي کاتاليست</t>
  </si>
  <si>
    <t>پايان طراحي قالب ها</t>
  </si>
  <si>
    <t xml:space="preserve">      Die Construction</t>
  </si>
  <si>
    <t>86d</t>
  </si>
  <si>
    <t>Feb-24-2025</t>
  </si>
  <si>
    <t xml:space="preserve">        C-7229</t>
  </si>
  <si>
    <t>ساخت قالب برش بلنک کاسه اي ورودي و خروجي کاتاليست</t>
  </si>
  <si>
    <t>25d</t>
  </si>
  <si>
    <t>Jan-11-2025</t>
  </si>
  <si>
    <t>1403/10/22</t>
  </si>
  <si>
    <t xml:space="preserve">        C-7230</t>
  </si>
  <si>
    <t>ساخت قالب کشش کاسه اي ورودي و خروجي کاتاليست</t>
  </si>
  <si>
    <t>84d</t>
  </si>
  <si>
    <t xml:space="preserve">        C-7231</t>
  </si>
  <si>
    <t>ساخت قالب دوربر کاسه اي ورودي و خروجي کاتاليست</t>
  </si>
  <si>
    <t>44d</t>
  </si>
  <si>
    <t>22d</t>
  </si>
  <si>
    <t>Jan-04-2025</t>
  </si>
  <si>
    <t xml:space="preserve">        C-7232</t>
  </si>
  <si>
    <t>ساخت قالب پانچ و يقه کاسه اي ورودي و خروجي کاتاليست</t>
  </si>
  <si>
    <t>19d</t>
  </si>
  <si>
    <t>Dec-29-2024</t>
  </si>
  <si>
    <t>1403/10/9</t>
  </si>
  <si>
    <t xml:space="preserve">        C-7233</t>
  </si>
  <si>
    <t>GPF ساخت قالب برش بلنک کاسه اي ورودي و خروجي</t>
  </si>
  <si>
    <t>23d</t>
  </si>
  <si>
    <t>Dec-30-2024</t>
  </si>
  <si>
    <t>1403/10/10</t>
  </si>
  <si>
    <t xml:space="preserve">        C-7234</t>
  </si>
  <si>
    <t>GPFساخت قالب کشش کاسه اي ورودي و خروجي</t>
  </si>
  <si>
    <t>78d</t>
  </si>
  <si>
    <t>29d</t>
  </si>
  <si>
    <t xml:space="preserve">        C-7235</t>
  </si>
  <si>
    <t>GPF ساخت قالب دوربر کاسه اي ورودي و خروجي</t>
  </si>
  <si>
    <t xml:space="preserve">        C-7236</t>
  </si>
  <si>
    <t>GPF ساخت قالب پانچ و يقه کاسه اي ورودي و خروجي</t>
  </si>
  <si>
    <t xml:space="preserve">        C-7237</t>
  </si>
  <si>
    <t>GPF ساخت قالب پانچ سوراخ مهره فيتينگ کاسه اي ورودي</t>
  </si>
  <si>
    <t xml:space="preserve">        C-7238</t>
  </si>
  <si>
    <t>GPF ساخت  قالب کشش کاور چپ و راست روي شل</t>
  </si>
  <si>
    <t>50d</t>
  </si>
  <si>
    <t>31d</t>
  </si>
  <si>
    <t>Dec-28-2024</t>
  </si>
  <si>
    <t>1403/10/8</t>
  </si>
  <si>
    <t xml:space="preserve">        C-7239</t>
  </si>
  <si>
    <t>GPFساخت قالب تريم اول کاور چپ و راست روي شل</t>
  </si>
  <si>
    <t>32d</t>
  </si>
  <si>
    <t xml:space="preserve">        C-7240</t>
  </si>
  <si>
    <t>GPFساخت قالب پانچ دوسر کاور چپ و راست روي شل</t>
  </si>
  <si>
    <t>35d</t>
  </si>
  <si>
    <t xml:space="preserve">        C-7241</t>
  </si>
  <si>
    <t>GPF ساخت قالب پانچ محل بست کمربندي کاور چپ و راست روي شل</t>
  </si>
  <si>
    <t>67d</t>
  </si>
  <si>
    <t xml:space="preserve">        C-7242</t>
  </si>
  <si>
    <t>GPF ساخت قالب پانچ محل مهره فيتينگ کاور چپ روي شل</t>
  </si>
  <si>
    <t>66d</t>
  </si>
  <si>
    <t xml:space="preserve">        C-7243</t>
  </si>
  <si>
    <t>GPF ساخت قالب پانچ محل مهره فيتينگ کاور راست روي شل</t>
  </si>
  <si>
    <t>72d</t>
  </si>
  <si>
    <t xml:space="preserve">        C-7244</t>
  </si>
  <si>
    <t>GPF ساخت قالب خم براکت روي شل</t>
  </si>
  <si>
    <t>42d</t>
  </si>
  <si>
    <t>Jan-07-2025</t>
  </si>
  <si>
    <t>1403/10/18</t>
  </si>
  <si>
    <t xml:space="preserve">        C-7245</t>
  </si>
  <si>
    <t>GPFشکلL ساخت قالب خم براکت</t>
  </si>
  <si>
    <t>36d</t>
  </si>
  <si>
    <t>Jan-14-2025</t>
  </si>
  <si>
    <t>1403/10/25</t>
  </si>
  <si>
    <t xml:space="preserve">        C-7246</t>
  </si>
  <si>
    <t>GPF ساخت قالب خم براکت لوله هاي فشار هوا</t>
  </si>
  <si>
    <t>GPF ساخت قالب لب برگردان کاسه اي ورودي و خروجي</t>
  </si>
  <si>
    <t>ساخت قالب لب برگردان کاسه اي ورودي کاتاليست</t>
  </si>
  <si>
    <t xml:space="preserve">        C-7299</t>
  </si>
  <si>
    <t>ساخت قالب خم براکت بزرگ کاتاليست</t>
  </si>
  <si>
    <t>33d</t>
  </si>
  <si>
    <t>Jan-16-2025</t>
  </si>
  <si>
    <t>1403/10/27</t>
  </si>
  <si>
    <t xml:space="preserve">        C-7300</t>
  </si>
  <si>
    <t>ساخت قالب خم براکت کوچک کاتاليست</t>
  </si>
  <si>
    <t>34d</t>
  </si>
  <si>
    <t>20d</t>
  </si>
  <si>
    <t xml:space="preserve">        C-7301</t>
  </si>
  <si>
    <t>ساخت قالب خم براکت ورودي کاتاليست</t>
  </si>
  <si>
    <t xml:space="preserve">        C-7377</t>
  </si>
  <si>
    <t>Back pressure ساخت قالب تبديل اتصال</t>
  </si>
  <si>
    <t xml:space="preserve">        C-7405</t>
  </si>
  <si>
    <t>L90 شل O اصلاح و ساخت قالب فرم</t>
  </si>
  <si>
    <t xml:space="preserve">        C-7429</t>
  </si>
  <si>
    <t>GPF ساخت قالب کاتر لبه محل مهره فيتينگ کاور چپ و راست روي شل</t>
  </si>
  <si>
    <t>Dec-26-2024</t>
  </si>
  <si>
    <t>1403/10/6</t>
  </si>
  <si>
    <t xml:space="preserve">        C-E</t>
  </si>
  <si>
    <t>پايان ساخت قالب ها</t>
  </si>
  <si>
    <t>1403/12/6</t>
  </si>
  <si>
    <t xml:space="preserve">        Outsource</t>
  </si>
  <si>
    <t>90d</t>
  </si>
  <si>
    <t xml:space="preserve">          OUT-C-01</t>
  </si>
  <si>
    <t>Embossed ساخت قالب هاي</t>
  </si>
  <si>
    <t xml:space="preserve">      Die Validation</t>
  </si>
  <si>
    <t>70d</t>
  </si>
  <si>
    <t xml:space="preserve">        OUT-V-01</t>
  </si>
  <si>
    <t>Embossed صحه گذاري قالب هاي</t>
  </si>
  <si>
    <t>Feb-25-2025</t>
  </si>
  <si>
    <t>1403/12/7</t>
  </si>
  <si>
    <t>1403/12/11</t>
  </si>
  <si>
    <t xml:space="preserve">        V-7229</t>
  </si>
  <si>
    <t>صحه گذاري قالب برش بلنک کاسه اي ورودي و خروجي کاتاليست</t>
  </si>
  <si>
    <t>Jan-15-2025</t>
  </si>
  <si>
    <t>1403/10/26</t>
  </si>
  <si>
    <t xml:space="preserve">        V-7230</t>
  </si>
  <si>
    <t>صحه گذاري قالب کشش کاسه اي ورودي و خروجي کاتاليست</t>
  </si>
  <si>
    <t xml:space="preserve">        V-7231</t>
  </si>
  <si>
    <t>صحه گذاري قالب دوربر کاسه اي ورودي و خروجي کاتاليست</t>
  </si>
  <si>
    <t xml:space="preserve">        V-7232</t>
  </si>
  <si>
    <t>صحه گذاري قالب پانچ و يقه کاسه اي ورودي و خروجي کاتاليست</t>
  </si>
  <si>
    <t>Jan-01-2025</t>
  </si>
  <si>
    <t>1403/10/12</t>
  </si>
  <si>
    <t xml:space="preserve">        V-7233</t>
  </si>
  <si>
    <t>GPF صحه گذاري قالب برش بلنک کاسه اي ورودي و خروجي</t>
  </si>
  <si>
    <t>37d</t>
  </si>
  <si>
    <t xml:space="preserve">        V-7234</t>
  </si>
  <si>
    <t>GPFصحه گذاري قالب کشش کاسه اي ورودي و خروجي</t>
  </si>
  <si>
    <t>62d</t>
  </si>
  <si>
    <t xml:space="preserve">        V-7235</t>
  </si>
  <si>
    <t>GPF صحه گذاري قالب دوربر کاسه اي ورودي و خروجي</t>
  </si>
  <si>
    <t xml:space="preserve">        V-7236</t>
  </si>
  <si>
    <t>GPF صحه گذاري قالب پانچ و يقه کاسه اي ورودي و خروجي</t>
  </si>
  <si>
    <t xml:space="preserve">        V-7237</t>
  </si>
  <si>
    <t>GPF صحه گذاري قالب پانچ سوراخ مهره فيتينگ کاسه اي ورودي</t>
  </si>
  <si>
    <t>45d</t>
  </si>
  <si>
    <t>Dec-21-2024</t>
  </si>
  <si>
    <t>1403/10/1</t>
  </si>
  <si>
    <t xml:space="preserve">        V-7238</t>
  </si>
  <si>
    <t>GPF صحه گذاري قالب کشش کاور چپ و راست روي شل</t>
  </si>
  <si>
    <t>Dec-31-2024</t>
  </si>
  <si>
    <t>1403/10/11</t>
  </si>
  <si>
    <t xml:space="preserve">        V-7239</t>
  </si>
  <si>
    <t>GPFصحه گذاري قالب تريم اول کاور چپ و راست روي شل</t>
  </si>
  <si>
    <t xml:space="preserve">        V-7240</t>
  </si>
  <si>
    <t>GPFصحه گذاري قالب پانچ دوسر کاور چپ و راست روي شل</t>
  </si>
  <si>
    <t xml:space="preserve">        V-7241</t>
  </si>
  <si>
    <t>GPF صحه گذاري قالب پانچ محل بست کمربندي کاور چپ و راست روي شل</t>
  </si>
  <si>
    <t xml:space="preserve">        V-7242</t>
  </si>
  <si>
    <t>GPF صحه گذاري قالب پانچ محل مهره فيتينگ کاور چپ روي شل</t>
  </si>
  <si>
    <t>Dec-14-2024</t>
  </si>
  <si>
    <t>1403/9/24</t>
  </si>
  <si>
    <t xml:space="preserve">        V-7243</t>
  </si>
  <si>
    <t>GPF صحه گذاري قالب پانچ محل مهره فيتينگ کاور راست روي شل</t>
  </si>
  <si>
    <t>57d</t>
  </si>
  <si>
    <t xml:space="preserve">        V-7244</t>
  </si>
  <si>
    <t>GPF صحه گذاري قالب خم براکت روي شل</t>
  </si>
  <si>
    <t>Jan-12-2025</t>
  </si>
  <si>
    <t>1403/10/23</t>
  </si>
  <si>
    <t xml:space="preserve">        V-7245</t>
  </si>
  <si>
    <t>GPFشکلL صحه گذاري قالب خم براکت</t>
  </si>
  <si>
    <t>Jan-19-2025</t>
  </si>
  <si>
    <t>1403/10/30</t>
  </si>
  <si>
    <t xml:space="preserve">        V-7246</t>
  </si>
  <si>
    <t>GPF صحه گذاري قالب خم براکت لوله هاي فشار هوا</t>
  </si>
  <si>
    <t>GPF صحه گذاري قالب لب برگردان کاسه اي ورودي و خروجي</t>
  </si>
  <si>
    <t xml:space="preserve">        V-7252</t>
  </si>
  <si>
    <t>GPF صحه گذاري قالب کاتر لبه محل مهره فيتينگ کاور چپ و راست روي شل</t>
  </si>
  <si>
    <t>41d</t>
  </si>
  <si>
    <t>صحه گذاري قالب لب برگردان کاسه اي ورودي کاتاليست</t>
  </si>
  <si>
    <t xml:space="preserve">        V-7299</t>
  </si>
  <si>
    <t>صحه گذاري قالب خم براکت بزرگ کاتاليست</t>
  </si>
  <si>
    <t>26d</t>
  </si>
  <si>
    <t>Jan-18-2025</t>
  </si>
  <si>
    <t>Jan-20-2025</t>
  </si>
  <si>
    <t>1403/10/29</t>
  </si>
  <si>
    <t>1403/11/1</t>
  </si>
  <si>
    <t xml:space="preserve">        V-7300</t>
  </si>
  <si>
    <t>صحه گذاري قالب خم براکت کوچک کاتاليست</t>
  </si>
  <si>
    <t xml:space="preserve">        V-7301</t>
  </si>
  <si>
    <t>صحه گذاري قالب خم براکت ورودي کاتاليست</t>
  </si>
  <si>
    <t xml:space="preserve">        V-7377</t>
  </si>
  <si>
    <t>Back pressure صحه گذاري قالب تبديل اتصال</t>
  </si>
  <si>
    <t xml:space="preserve">        V-7405</t>
  </si>
  <si>
    <t>L90 شل O اصلاح و صحه گذاري قالب فرم</t>
  </si>
  <si>
    <t xml:space="preserve">        V-E</t>
  </si>
  <si>
    <t>پايان تست و صحه گذاري قالبها</t>
  </si>
  <si>
    <t xml:space="preserve">    CF</t>
  </si>
  <si>
    <t>Jan-05-2025</t>
  </si>
  <si>
    <t xml:space="preserve">      CF Design</t>
  </si>
  <si>
    <t>Jan-13-2025</t>
  </si>
  <si>
    <t>طراحي فيکسچر کنترل نهايي کاتاليست</t>
  </si>
  <si>
    <t>1403/10/16</t>
  </si>
  <si>
    <t>طراحي فيکسچر تست نشتي کاتاليست</t>
  </si>
  <si>
    <t>طراحي فيکسچر کنترل فلنج ورودي کاتاليست</t>
  </si>
  <si>
    <t>1403/10/24</t>
  </si>
  <si>
    <t>طراحي فيکسچر کنترل فلنج خروجي کاتاليست</t>
  </si>
  <si>
    <t>GPF طراحي فيکسچر کنترل نهايي</t>
  </si>
  <si>
    <t>GPF طراحي فيکسچر تست نشتي</t>
  </si>
  <si>
    <t>پايان طراحي فيکسچر هاي کنترلي</t>
  </si>
  <si>
    <t xml:space="preserve">      CF Construction</t>
  </si>
  <si>
    <t>Jan-29-2025</t>
  </si>
  <si>
    <t>Apr-05-2025</t>
  </si>
  <si>
    <t xml:space="preserve">        C-7335</t>
  </si>
  <si>
    <t>ساخت فيکسچر کنترل نهايي کاتاليست</t>
  </si>
  <si>
    <t>40d</t>
  </si>
  <si>
    <t>Jan-30-2025</t>
  </si>
  <si>
    <t>1403/11/11</t>
  </si>
  <si>
    <t>1404/1/17</t>
  </si>
  <si>
    <t xml:space="preserve">        C-7336</t>
  </si>
  <si>
    <t>ساخت فيکسچر تست نشتي کاتاليست</t>
  </si>
  <si>
    <t xml:space="preserve">        C-7339</t>
  </si>
  <si>
    <t>ساخت فيکسچر کنترل فلنج ورودي کاتاليست</t>
  </si>
  <si>
    <t>17d</t>
  </si>
  <si>
    <t>Feb-19-2025</t>
  </si>
  <si>
    <t>1403/11/10</t>
  </si>
  <si>
    <t>1403/12/1</t>
  </si>
  <si>
    <t xml:space="preserve">        C-7340</t>
  </si>
  <si>
    <t>ساخت فيکسچر کنترل فلنج خروجي کاتاليست</t>
  </si>
  <si>
    <t xml:space="preserve">        C-7353</t>
  </si>
  <si>
    <t>GPF ساخت فيکسچر کنترل نهايي</t>
  </si>
  <si>
    <t xml:space="preserve">        C-7354</t>
  </si>
  <si>
    <t>GPF ساخت فيکسچر تست نشتي</t>
  </si>
  <si>
    <t xml:space="preserve">        C-7364</t>
  </si>
  <si>
    <t xml:space="preserve">      CF Validation</t>
  </si>
  <si>
    <t xml:space="preserve">        V-7335</t>
  </si>
  <si>
    <t>صحه گذاري فيکسچر کنترل نهايي کاتاليست</t>
  </si>
  <si>
    <t>1404/1/19</t>
  </si>
  <si>
    <t xml:space="preserve">        V-7336</t>
  </si>
  <si>
    <t>صحه گذاري فيکسچر تست نشتي کاتاليست</t>
  </si>
  <si>
    <t xml:space="preserve">        V-7339</t>
  </si>
  <si>
    <t>صحه گذاري فيکسچر کنترل فلنج ورودي کاتاليست</t>
  </si>
  <si>
    <t>Feb-22-2025</t>
  </si>
  <si>
    <t>1403/12/4</t>
  </si>
  <si>
    <t xml:space="preserve">        V-7340</t>
  </si>
  <si>
    <t>صحه گذاري فيکسچر کنترل فلنج خروجي کاتاليست</t>
  </si>
  <si>
    <t xml:space="preserve">        V-7353</t>
  </si>
  <si>
    <t>GPF صحه گذاري فيکسچر کنترل نهايي</t>
  </si>
  <si>
    <t xml:space="preserve">        V-7354</t>
  </si>
  <si>
    <t>GPF صحه گذاري فيکسچر تست نشتي</t>
  </si>
  <si>
    <t xml:space="preserve">        V-7364</t>
  </si>
  <si>
    <t>پايان صحه گذاري فيکسچر هاي کنترلي</t>
  </si>
  <si>
    <t xml:space="preserve">    PF</t>
  </si>
  <si>
    <t>80d</t>
  </si>
  <si>
    <t>Mar-15-2025</t>
  </si>
  <si>
    <t xml:space="preserve">      PF Design</t>
  </si>
  <si>
    <t>Mar-02-2025</t>
  </si>
  <si>
    <t>طراحي فيکسچر مونتاژ لوله ورودي به فلنچ ورودي کاتاليست</t>
  </si>
  <si>
    <t>Jan-28-2025</t>
  </si>
  <si>
    <t>Feb-01-2025</t>
  </si>
  <si>
    <t>1403/11/9</t>
  </si>
  <si>
    <t>1403/11/13</t>
  </si>
  <si>
    <t>طراحي متعلقات فيکسچر دورجوش لوله ورودي به فلنج ورودي کاتاليست</t>
  </si>
  <si>
    <t>Feb-18-2025</t>
  </si>
  <si>
    <t>1403/11/30</t>
  </si>
  <si>
    <t>طراحي فيکسچر مونتاژ لوله خروجي به فلنج خروجي کاتاليست</t>
  </si>
  <si>
    <t>Feb-04-2025</t>
  </si>
  <si>
    <t>1403/11/16</t>
  </si>
  <si>
    <t>طراحي فيکسچر سوراخکاري لوله خروجي کاتاليست</t>
  </si>
  <si>
    <t>طراحي فيکسچر مونتاژ مهره سنسور به لوله خروجي کاتاليست</t>
  </si>
  <si>
    <t>Feb-13-2025</t>
  </si>
  <si>
    <t>1403/11/25</t>
  </si>
  <si>
    <t>طراحي فيکسچر مونتاژ کاسه اي ورودي و خروجي به کاتاباکس کاتاليست</t>
  </si>
  <si>
    <t>GPF طراحي  متعلقات فيکسچر دورجوش اتومات مهره فشار هوا به لوله مياني</t>
  </si>
  <si>
    <t>طراحي فيکسچر مونتاژ مجموعه لوله ورودي و خروجي به کاتاباکس کاتاليست</t>
  </si>
  <si>
    <t>Jan-23-2025</t>
  </si>
  <si>
    <t>1403/11/4</t>
  </si>
  <si>
    <t>GPF طراحي فيکسچر مونتاژ لوله ورودي به فلنج ورودي</t>
  </si>
  <si>
    <t>GPF طراحي فيکسچر سوراخکاري لوله مياني</t>
  </si>
  <si>
    <t>GPF طراحي متعلقات دورجوش اتومات مهره فشار هوا به لوله مياني</t>
  </si>
  <si>
    <t>GPF طراحي فيکسچر مونتاژ لوله خروجي به فلنج خروجي</t>
  </si>
  <si>
    <t>GPF طراحي فيکسچر سوراخکاري لوله خروجي</t>
  </si>
  <si>
    <t>GPF طراحي فيکسچر مونتاژ مهره فشار هوا به لوله خروجي</t>
  </si>
  <si>
    <t>GPF طراحي فيکسچر مونتاژ مهره سنسور دما به کاسه اي ورودي</t>
  </si>
  <si>
    <t>GPF طراحي متعلقات دورجوش کاسه اي ورودي و خروجي به کاتاباکس</t>
  </si>
  <si>
    <t>GPF طراحي فيکسچر مونتاژ مجموعه لوله خروجي و لوله مياني به کاتاباکس</t>
  </si>
  <si>
    <t>GPF طراحي فيکسچر مونتاژ براکتها</t>
  </si>
  <si>
    <t>1403/12/12</t>
  </si>
  <si>
    <t>GPF طراحي فيکسچر مونتاژ مجموعه کاتاباکس و لوله ورودي به فلکسيبل</t>
  </si>
  <si>
    <t>طراحي فيکسچر مونتاژ کاسه اي ورودي به مجموعه لوله ورودي کاتاليست</t>
  </si>
  <si>
    <t>طراحي فيکسچر مونتاژ کاسه اي خروجي به مجموعه لوله خروجي کاتاليست</t>
  </si>
  <si>
    <t>GPF طراحي متعلقات مربوط به فيکسچر دورجوش لوله ورودي به فلنچ</t>
  </si>
  <si>
    <t>97d</t>
  </si>
  <si>
    <t xml:space="preserve">        End-PF</t>
  </si>
  <si>
    <t>پايان طراحي فيکسچر هاي توليدي</t>
  </si>
  <si>
    <t xml:space="preserve">      PF Construction</t>
  </si>
  <si>
    <t>74d</t>
  </si>
  <si>
    <t>Mar-13-2025</t>
  </si>
  <si>
    <t xml:space="preserve">        C-7327</t>
  </si>
  <si>
    <t>ساخت فيکسچر مونتاژ لوله ورودي به فلنچ ورودي کاتاليست</t>
  </si>
  <si>
    <t>Feb-23-2025</t>
  </si>
  <si>
    <t>1403/12/5</t>
  </si>
  <si>
    <t xml:space="preserve">        C-7328</t>
  </si>
  <si>
    <t>ساخت متعلقات فيکسچر دورجوش لوله ورودي به فلنج ورودي کاتاليست</t>
  </si>
  <si>
    <t>13d</t>
  </si>
  <si>
    <t>Mar-05-2025</t>
  </si>
  <si>
    <t>1403/12/15</t>
  </si>
  <si>
    <t xml:space="preserve">        C-7329</t>
  </si>
  <si>
    <t>ساخت فيکسچر مونتاژ لوله خروجي به فلنج خروجي کاتاليست</t>
  </si>
  <si>
    <t xml:space="preserve">        C-7330</t>
  </si>
  <si>
    <t>ساخت فيکسچر سوراخکاري لوله خروجي کاتاليست</t>
  </si>
  <si>
    <t xml:space="preserve">        C-7331</t>
  </si>
  <si>
    <t>ساخت فيکسچر مونتاژ مهره سنسور به لوله خروجي کاتاليست</t>
  </si>
  <si>
    <t>1403/12/23</t>
  </si>
  <si>
    <t xml:space="preserve">        C-7332</t>
  </si>
  <si>
    <t>ساخت فيکسچر مونتاژ کاسه اي ورودي و خروجي به کاتاباکس کاتاليست</t>
  </si>
  <si>
    <t>51d</t>
  </si>
  <si>
    <t xml:space="preserve">        C-7333</t>
  </si>
  <si>
    <t>GPF ساخت متعلقات فيکسچر دورجوش اتومات مهره فشار هوا به لوله مياني</t>
  </si>
  <si>
    <t>Mar-09-2025</t>
  </si>
  <si>
    <t>1403/12/19</t>
  </si>
  <si>
    <t xml:space="preserve">        C-7334</t>
  </si>
  <si>
    <t>ساخت فيکسچر مونتاژ مجموعه لوله ورودي و خروجي به کاتاباکس کاتاليست</t>
  </si>
  <si>
    <t xml:space="preserve">        C-7338</t>
  </si>
  <si>
    <t>ساخت فيکسچر حک رديابي کاتاليست</t>
  </si>
  <si>
    <t>Mar-10-2025</t>
  </si>
  <si>
    <t>1403/12/20</t>
  </si>
  <si>
    <t xml:space="preserve">        C-7342</t>
  </si>
  <si>
    <t>GPF ساخت فيکسچر مونتاژ لوله ورودي به فلنج ورودي</t>
  </si>
  <si>
    <t>Feb-03-2025</t>
  </si>
  <si>
    <t>1403/11/15</t>
  </si>
  <si>
    <t xml:space="preserve">        C-7343</t>
  </si>
  <si>
    <t>GPF ساخت فيکسچر سوراخکاري لوله مياني</t>
  </si>
  <si>
    <t xml:space="preserve">        C-7344</t>
  </si>
  <si>
    <t xml:space="preserve">        C-7345</t>
  </si>
  <si>
    <t>GPF ساخت فيکسچر مونتاژ لوله خروجي به فلنج خروجي</t>
  </si>
  <si>
    <t xml:space="preserve">        C-7346</t>
  </si>
  <si>
    <t>GPF ساخت فيکسچر سوراخکاري لوله خروجي</t>
  </si>
  <si>
    <t xml:space="preserve">        C-7347</t>
  </si>
  <si>
    <t>GPF ساخت فيکسچر مونتاژ مهره فشار هوا به لوله خروجي</t>
  </si>
  <si>
    <t xml:space="preserve">        C-7348</t>
  </si>
  <si>
    <t>GPF ساخت فيکسچر مونتاژ مهره سنسور دما به کاسه اي ورودي</t>
  </si>
  <si>
    <t xml:space="preserve">        C-7350</t>
  </si>
  <si>
    <t>GPF ساخت متعلقات دورجوش کاسه اي ورودي و خروجي به کاتاباکس</t>
  </si>
  <si>
    <t xml:space="preserve">        C-7351</t>
  </si>
  <si>
    <t>GPF ساخت فيکسچر مونتاژ مجموعه لوله خروجي و لوله مياني به کاتاباکس</t>
  </si>
  <si>
    <t xml:space="preserve">        C-7352</t>
  </si>
  <si>
    <t>GPF ساخت فيکسچر مونتاژ براکتها</t>
  </si>
  <si>
    <t xml:space="preserve">        C-7355</t>
  </si>
  <si>
    <t>GPF ساخت فيکسچر حک رديابي</t>
  </si>
  <si>
    <t xml:space="preserve">        C-7356</t>
  </si>
  <si>
    <t>GPF ساخت فيکسچر مونتاژ مجموعه کاتاباکس و لوله ورودي به فلکسيبل</t>
  </si>
  <si>
    <t>Feb-20-2025</t>
  </si>
  <si>
    <t>1403/12/2</t>
  </si>
  <si>
    <t xml:space="preserve">        C-7456</t>
  </si>
  <si>
    <t>GPF ساخت متعلقات مربوط به فيکسچر دورجوش لوله ورودي به فلنچ</t>
  </si>
  <si>
    <t xml:space="preserve">        EC -PF</t>
  </si>
  <si>
    <t>پايان ساخت فيکسچر هاي توليدي</t>
  </si>
  <si>
    <t xml:space="preserve">        OutSource</t>
  </si>
  <si>
    <t>Mar-03-2025</t>
  </si>
  <si>
    <t xml:space="preserve">          C-OS 1</t>
  </si>
  <si>
    <t>ساخت فيکسچر دورجوش فلنچ به کاسه اي ورودي کاتاليست</t>
  </si>
  <si>
    <t>1403/12/13</t>
  </si>
  <si>
    <t xml:space="preserve">          C-OS 2</t>
  </si>
  <si>
    <t>ساخت فيکسچر دورجوش فلنج به کاسه اي خروجي</t>
  </si>
  <si>
    <t xml:space="preserve">          C-OS 3</t>
  </si>
  <si>
    <t>ساخت فيکسچر دورجوش مجموعه کاسه اي ورودي و خروجي به کاتاباکس</t>
  </si>
  <si>
    <t xml:space="preserve">          C-OS 4</t>
  </si>
  <si>
    <t>ساخت فيکسچر دورجوش مجموعه لوله خروجي و لوله مياني به کاتاباکس</t>
  </si>
  <si>
    <t xml:space="preserve">          C-OS 5</t>
  </si>
  <si>
    <t>ساخت فيکسچر دورجوش مجموعه کاتاباکس و لوله ورودي به فلکسيبل</t>
  </si>
  <si>
    <t xml:space="preserve">          C-OS 6</t>
  </si>
  <si>
    <t>ساخت فيکسچر دورجوش فلنچ خروجي کاتاليست به لوله</t>
  </si>
  <si>
    <t xml:space="preserve">      PF Validation</t>
  </si>
  <si>
    <t xml:space="preserve">        EV-PF</t>
  </si>
  <si>
    <t>پايان صحه گذاري فيکسچر هاي توليدي</t>
  </si>
  <si>
    <t>1403/12/25</t>
  </si>
  <si>
    <t xml:space="preserve">        V-7327</t>
  </si>
  <si>
    <t>صحه گذاري فيکسچر مونتاژ لوله ورودي به فلنچ ورودي کاتاليست</t>
  </si>
  <si>
    <t xml:space="preserve">        V-7328</t>
  </si>
  <si>
    <t>صحه گذاري متعلقات فيکسچر دورجوش لوله ورودي به فلنج ورودي کاتاليست</t>
  </si>
  <si>
    <t>Mar-08-2025</t>
  </si>
  <si>
    <t>1403/12/18</t>
  </si>
  <si>
    <t xml:space="preserve">        V-7329</t>
  </si>
  <si>
    <t>صحه گذاري فيکسچر مونتاژ لوله خروجي به فلنج خروجي کاتاليست</t>
  </si>
  <si>
    <t xml:space="preserve">        V-7330</t>
  </si>
  <si>
    <t>صحه گذاري فيکسچر سوراخکاري لوله خروجي کاتاليست</t>
  </si>
  <si>
    <t xml:space="preserve">        V-7331</t>
  </si>
  <si>
    <t>صحه گذاري فيکسچر مونتاژ مهره سنسور به لوله خروجي کاتاليست</t>
  </si>
  <si>
    <t xml:space="preserve">        V-7332</t>
  </si>
  <si>
    <t>صحه گذاري فيکسچر مونتاژ کاسه اي ورودي و خروجي به کاتاباکس کاتاليست</t>
  </si>
  <si>
    <t>Jan-21-2025</t>
  </si>
  <si>
    <t>1403/11/2</t>
  </si>
  <si>
    <t xml:space="preserve">        V-7333</t>
  </si>
  <si>
    <t>GPF صحه گذاري متعلقات فيکسچر دورجوش اتومات مهره فشار هوا به لوله مياني</t>
  </si>
  <si>
    <t xml:space="preserve">        V-7334</t>
  </si>
  <si>
    <t>صحه گذاري فيکسچر مونتاژ مجموعه لوله ورودي و خروجي به کاتاباکس کاتاليست</t>
  </si>
  <si>
    <t xml:space="preserve">        V-7342</t>
  </si>
  <si>
    <t>GPF صحه گذاري فيکسچر مونتاژ لوله ورودي به فلنج ورودي</t>
  </si>
  <si>
    <t xml:space="preserve">        V-7343</t>
  </si>
  <si>
    <t>GPF صحه گذاري فيکسچر سوراخکاري لوله مياني</t>
  </si>
  <si>
    <t xml:space="preserve">        V-7344</t>
  </si>
  <si>
    <t xml:space="preserve">        V-7345</t>
  </si>
  <si>
    <t>GPF صحه گذاري فيکسچر مونتاژ لوله خروجي به فلنج خروجي</t>
  </si>
  <si>
    <t>Feb-11-2025</t>
  </si>
  <si>
    <t>1403/11/23</t>
  </si>
  <si>
    <t xml:space="preserve">        V-7346</t>
  </si>
  <si>
    <t>GPF صحه گذاري فيکسچر سوراخکاري لوله خروجي</t>
  </si>
  <si>
    <t xml:space="preserve">        V-7347</t>
  </si>
  <si>
    <t>GPF صحه گذاري فيکسچر مونتاژ مهره فشار هوا به لوله خروجي</t>
  </si>
  <si>
    <t xml:space="preserve">        V-7348</t>
  </si>
  <si>
    <t>GPF صحه گذاري فيکسچر مونتاژ مهره سنسور دما به کاسه اي ورودي</t>
  </si>
  <si>
    <t xml:space="preserve">        V-7350</t>
  </si>
  <si>
    <t>GPF صحه گذاري متعلقات دورجوش کاسه اي ورودي و خروجي به کاتاباکس</t>
  </si>
  <si>
    <t>47d</t>
  </si>
  <si>
    <t xml:space="preserve">        V-7351</t>
  </si>
  <si>
    <t>GPF صحه گذاري فيکسچر مونتاژ مجموعه لوله خروجي و لوله مياني به کاتاباکس</t>
  </si>
  <si>
    <t xml:space="preserve">        V-7352</t>
  </si>
  <si>
    <t>GPF صحه گذاري فيکسچر مونتاژ براکتها</t>
  </si>
  <si>
    <t xml:space="preserve">        V-7356</t>
  </si>
  <si>
    <t>GPF صحه گذاري فيکسچر مونتاژ مجموعه کاتاباکس و لوله ورودي به فلکسيبل</t>
  </si>
  <si>
    <t xml:space="preserve">        V-7456</t>
  </si>
  <si>
    <t>GPF صحه گذاري متعلقات مربوط به فيکسچر دورجوش لوله ورودي به فلنچ</t>
  </si>
  <si>
    <t>79d</t>
  </si>
  <si>
    <t xml:space="preserve">  Validation Product And Process</t>
  </si>
  <si>
    <t>105d</t>
  </si>
  <si>
    <t xml:space="preserve">    Supply of semi-finished parts</t>
  </si>
  <si>
    <t xml:space="preserve">      C-7378</t>
  </si>
  <si>
    <t>تامين لوله هاي فشار</t>
  </si>
  <si>
    <t xml:space="preserve">      C-7379</t>
  </si>
  <si>
    <t>تامين بست کمربندي</t>
  </si>
  <si>
    <t xml:space="preserve">      C-7380</t>
  </si>
  <si>
    <t>تامين فلنچ هاي ورودي و خروجي</t>
  </si>
  <si>
    <t xml:space="preserve">      C-7388</t>
  </si>
  <si>
    <t>تامين محموله الياف سراميکي (کاور) از تامين کنندگان</t>
  </si>
  <si>
    <t xml:space="preserve">      C-7390</t>
  </si>
  <si>
    <t>آماده سازي محموله مونوليت و مت</t>
  </si>
  <si>
    <t>Dec-15-2024</t>
  </si>
  <si>
    <t>1403/9/25</t>
  </si>
  <si>
    <t xml:space="preserve">      C-7398</t>
  </si>
  <si>
    <t>تامين محموله بست شاخکدار</t>
  </si>
  <si>
    <t xml:space="preserve">      C-7400</t>
  </si>
  <si>
    <t>حمل مونوليت و مت</t>
  </si>
  <si>
    <t xml:space="preserve">      C-7408</t>
  </si>
  <si>
    <t>تامين محموله مهره سنسور و فتينگ</t>
  </si>
  <si>
    <t xml:space="preserve">      C-7410</t>
  </si>
  <si>
    <t>تامين محموله خريد پيچ ها</t>
  </si>
  <si>
    <t xml:space="preserve">      C-7418</t>
  </si>
  <si>
    <t>تحويل مت و مونوليت از گمرک</t>
  </si>
  <si>
    <t>Jan-27-2025</t>
  </si>
  <si>
    <t>1403/11/8</t>
  </si>
  <si>
    <t xml:space="preserve">      C-7420</t>
  </si>
  <si>
    <t>تامين محموله شلنگ نخ دار</t>
  </si>
  <si>
    <t xml:space="preserve">      C-7430</t>
  </si>
  <si>
    <t>تامين مواد و قطعات نيم ساخته</t>
  </si>
  <si>
    <t xml:space="preserve">    Off tools Sample</t>
  </si>
  <si>
    <t>18d</t>
  </si>
  <si>
    <t xml:space="preserve">      Prd1</t>
  </si>
  <si>
    <t>توليد نمونه اوليه کاتاليست</t>
  </si>
  <si>
    <t xml:space="preserve">      Prd2</t>
  </si>
  <si>
    <t>توليد يک روز خط</t>
  </si>
  <si>
    <t>1404/1/21</t>
  </si>
  <si>
    <t xml:space="preserve">        C-7452</t>
  </si>
  <si>
    <t xml:space="preserve">        C-7453</t>
  </si>
  <si>
    <t xml:space="preserve">        C-7454</t>
  </si>
  <si>
    <t xml:space="preserve">        C-7455</t>
  </si>
  <si>
    <t xml:space="preserve">        V-7452</t>
  </si>
  <si>
    <t xml:space="preserve">        V-7453</t>
  </si>
  <si>
    <t>ساخت فيکسچر مونتاژ کاسه اي ورودي به مجموعه لوله ورودي کاتاليست</t>
  </si>
  <si>
    <t>ساخت فيکسچر مونتاژ کاسه اي خروجي به مجموعه لوله خروجي کاتاليست</t>
  </si>
  <si>
    <t xml:space="preserve">        V-7454</t>
  </si>
  <si>
    <t>صحه گذاری فيکسچر مونتاژ کاسه اي ورودي به مجموعه لوله ورودي کاتاليست</t>
  </si>
  <si>
    <t xml:space="preserve">        V-7455</t>
  </si>
  <si>
    <t>صحه گذاری فيکسچر مونتاژ کاسه اي خروجي به مجموعه لوله خروجي کاتاليست</t>
  </si>
  <si>
    <t>1403/12/04</t>
  </si>
  <si>
    <t xml:space="preserve">نمونه سازی </t>
  </si>
  <si>
    <t>Status date</t>
  </si>
  <si>
    <t>Fixture</t>
  </si>
  <si>
    <t>Completed</t>
  </si>
  <si>
    <t>In progress</t>
  </si>
  <si>
    <t>1404/3/15</t>
  </si>
  <si>
    <t>1404/3/2</t>
  </si>
  <si>
    <t>1404/3/5</t>
  </si>
  <si>
    <t>1404/3/6</t>
  </si>
  <si>
    <t>1404/3/9</t>
  </si>
  <si>
    <t>1404/3/12</t>
  </si>
  <si>
    <t>1404/4/6</t>
  </si>
  <si>
    <t>1404/3/16</t>
  </si>
  <si>
    <t>1404/4/13</t>
  </si>
  <si>
    <t>1404/4/4</t>
  </si>
  <si>
    <t>1404/4/8</t>
  </si>
  <si>
    <t>1404/4/10</t>
  </si>
  <si>
    <t>1404/3/20</t>
  </si>
  <si>
    <t>1404/3/29</t>
  </si>
  <si>
    <t>1404/3/19</t>
  </si>
  <si>
    <t>1404/3/25</t>
  </si>
  <si>
    <t>1404/4/3</t>
  </si>
  <si>
    <t>1404/1/22</t>
  </si>
  <si>
    <t>1404/1/12</t>
  </si>
  <si>
    <t>1404/4/18</t>
  </si>
  <si>
    <t>1404/5/8</t>
  </si>
  <si>
    <t>1404/2/14</t>
  </si>
  <si>
    <t>1404/4/9</t>
  </si>
  <si>
    <t>1404/4/15</t>
  </si>
  <si>
    <t>1404/4/26</t>
  </si>
  <si>
    <t>1404/2/21</t>
  </si>
  <si>
    <t>1404/2/2</t>
  </si>
  <si>
    <t>1404/04/20</t>
  </si>
  <si>
    <t>1404/05/25</t>
  </si>
  <si>
    <t>1404/04/25</t>
  </si>
  <si>
    <t>1404/05/07</t>
  </si>
  <si>
    <t>1404/05/01</t>
  </si>
  <si>
    <t>کد ساخت</t>
  </si>
  <si>
    <t xml:space="preserve">وضعیت </t>
  </si>
  <si>
    <t xml:space="preserve">عنوان درخواست </t>
  </si>
  <si>
    <t xml:space="preserve">روش ساخت </t>
  </si>
  <si>
    <t>شروع</t>
  </si>
  <si>
    <t xml:space="preserve">پایان </t>
  </si>
  <si>
    <t xml:space="preserve">شروع </t>
  </si>
  <si>
    <t xml:space="preserve">طراحی </t>
  </si>
  <si>
    <t>برشکاری</t>
  </si>
  <si>
    <t>تراشکاری منوال</t>
  </si>
  <si>
    <t>تراشکاری CNC</t>
  </si>
  <si>
    <t>فزرکاری CNC</t>
  </si>
  <si>
    <t>مونتاژ نهایی</t>
  </si>
  <si>
    <t xml:space="preserve">پیشرفت ساخت </t>
  </si>
  <si>
    <t>پیشرفت کل</t>
  </si>
  <si>
    <t>فرز منوال</t>
  </si>
  <si>
    <t xml:space="preserve">فرآیند طراحی و ساخت </t>
  </si>
  <si>
    <t>واقعی</t>
  </si>
  <si>
    <t>برنامه ریزی</t>
  </si>
  <si>
    <t>1404/05/04</t>
  </si>
  <si>
    <t>1404/05/08</t>
  </si>
  <si>
    <t xml:space="preserve">سختکاری </t>
  </si>
  <si>
    <t xml:space="preserve">کد </t>
  </si>
  <si>
    <t xml:space="preserve">عنوان در خواست </t>
  </si>
  <si>
    <t>تحلیل /تائید طرح</t>
  </si>
  <si>
    <t xml:space="preserve">خرید مواد اولیه  </t>
  </si>
  <si>
    <t>فرز CNC</t>
  </si>
  <si>
    <t xml:space="preserve"> Equipment</t>
  </si>
  <si>
    <t>ساخت قالب O   دو منظوره برای قطرها   50 و 48 میلیمتر با طول 550 میلیمتر</t>
  </si>
  <si>
    <t>1404/05/15</t>
  </si>
  <si>
    <t xml:space="preserve">فنر در تاریخ 5 مرداد خریداری شد و مورخ 7 مرداد صحه گذاری می شود </t>
  </si>
  <si>
    <t>Whole set of Xb1 Catalytic Converter and GPF and Exhaust</t>
  </si>
  <si>
    <t>رینگی کلاف جهت انجام فرآیند فرم دهی و نقطه جوش پوسته الیت و بایکX7 و XB1</t>
  </si>
  <si>
    <t xml:space="preserve">نمونه شاهد </t>
  </si>
  <si>
    <t>1404/04/26</t>
  </si>
  <si>
    <t>فیکسچر مونتاژ آویز و تقویتی به مجموعه XB1 GPF</t>
  </si>
  <si>
    <t>فیکسچر مونتاژ نهایی XB1 GPF</t>
  </si>
  <si>
    <t>فیکسچر مونتاژ کاسه ورودی و خروجی به سایلنسر (عمودی) XB1 GPF</t>
  </si>
  <si>
    <t xml:space="preserve">فیکسچر جازنی اسکلت در سایلنسر XB1 GPF </t>
  </si>
  <si>
    <t>فیکسچر مونتاژ لوله  توری به درب داخلی چپ منبع XB1 GPF</t>
  </si>
  <si>
    <t>1404/06/03</t>
  </si>
  <si>
    <t>1404/07/15</t>
  </si>
  <si>
    <t>فیکسچر مونتاژ لوله  توری به درب داخلی راست منبع XB1 GPF</t>
  </si>
  <si>
    <t>فیکسچر مونتاژ کاسه ای ورودی و خروجی به شل +جوش براکت XB1 GPF</t>
  </si>
  <si>
    <t>فیکسچر دورجوش فلنچ به کاسه ای ورودی (بلبرینگ کف گرد) XB1 GPF</t>
  </si>
  <si>
    <t xml:space="preserve">فیکسچر مونتاژ فلنچ به کاسه ای ورودی (فلنچ پیچ خورده) XB1 GPF </t>
  </si>
  <si>
    <t>فیکسچر مونتاژ فلنچ به لوله خروجی XB1 GPF</t>
  </si>
  <si>
    <t xml:space="preserve"> قالب پیش فرم قبل و بعد از فلنج پوسته منبع اگزوز فیدلیتی و XB1</t>
  </si>
  <si>
    <t xml:space="preserve"> نافی دو منظوره با فیدلیتی پرایم جهت فیکسچر مونتاژ پیچ به فلنچ XB1 GPF</t>
  </si>
  <si>
    <t>فیکسچر مونتاژ لوله های فشار  به مجموعه XB1 GPF</t>
  </si>
  <si>
    <t>فیکسچر دورجوش کاسه ای ورودی و خروجی به شل XB1 GPF</t>
  </si>
  <si>
    <t>1404/04/09</t>
  </si>
  <si>
    <t>قالب O لوله توری منبع میانی فیدلیتی XB1</t>
  </si>
  <si>
    <t>قالب در پوش لوله توری ورودی جهت پروژه منبع XB1</t>
  </si>
  <si>
    <t>1404/05/27</t>
  </si>
  <si>
    <t>قالب پیش فرم کاسه ای خروجی کاتالیست XB1</t>
  </si>
  <si>
    <t>قالب کشش نهایی کاسه ای خروجی کاتالیست XB1</t>
  </si>
  <si>
    <t>1404/06/25</t>
  </si>
  <si>
    <t>قالب دوربری کاسه ای خروجی کاتالیست XB1</t>
  </si>
  <si>
    <t>1404/06/30</t>
  </si>
  <si>
    <t>قالب پانچ و یقه کاسه ای خروجی کاتالیست XB1</t>
  </si>
  <si>
    <t>فیکسچر مونتاژ آویز و کمک آویزها قطعه لوله فلکسیبل دار XB1</t>
  </si>
  <si>
    <t>فیکسچر مونتاژ مجموعه ورودی و خروجی به فلکسیبل قطعه لوله فلکسیبل دار XB1</t>
  </si>
  <si>
    <t>فیکسچر مونتاژ فلنچ خروجی به لوله خروجی قطعه لوله فلکسیبل دار XB1</t>
  </si>
  <si>
    <t>فیکسچر مونتاژ مهره سنسور به مجموعه ورودی قطعه لوله فلکسیبل دار XB1</t>
  </si>
  <si>
    <t>فیکسچر سوراخکاری محل مهره سنسور قطعه لوله فلکسیبل دار XB1</t>
  </si>
  <si>
    <t>فیکسچر مونتاژ فلنچ ورودی به لوله ورودی قطعه لوله فلکسیبل دار XB1</t>
  </si>
  <si>
    <t>فیکسچر مونتاژ کاورهای حرارتی بالا و پایین بر روی کاتالیست XB1</t>
  </si>
  <si>
    <t>فیکسچر مونتاژ براکت ورودی و براکت روی شل کاتالیست XB1</t>
  </si>
  <si>
    <t>قرار جوش مهره جوشی به براکت اتصال ورودی و براکت نگه دارنده روی شل کاتالیست  XB1</t>
  </si>
  <si>
    <t>فیکسچر مونتاژ مجموعه ورودی و خروجی به کاتاباکس  کاتالیست XB1</t>
  </si>
  <si>
    <t>فیکسچر مونتاژ کاسه ای خروجی به فلنچ خروجی  کاتالیست XB1</t>
  </si>
  <si>
    <t>فیکسچر جوش پیچ به فلنچ خروجی  کاتالیست XB1</t>
  </si>
  <si>
    <t>فیکسچر دورجوش از بیرون کاسه ای ورودی به فلنچ ورودی  کاتالیست Xb1-دورجوش دستی با بلبرینگ کف گرد</t>
  </si>
  <si>
    <t>فیکسچر مونتاژ کاسه ای ورودی به فلنچ ورودی  کاتالیست XB1</t>
  </si>
  <si>
    <t>فیکسچر رباتیک درزجوش پوسته های خارجی ورودی کاتالیست XB1</t>
  </si>
  <si>
    <t>فیکسچر مونتاژ مهر سنسور به پوسته خارجی ورودی پایینی کاتالیست XB1</t>
  </si>
  <si>
    <t>ساخت فیکسچر (آهنگری) منبع انتهایی Fidelity - XB1</t>
  </si>
  <si>
    <t>فیکسچر حک شناسایی و ردیابی منبع انتهایی فیدلیتی XB1</t>
  </si>
  <si>
    <t>فیکسچر مونتاژ واشر به آویز منبع انتهایی فیدلیتی XB1</t>
  </si>
  <si>
    <t>فیکسچر مونتاژ لوله به فلنچ منبع انتهایی فیدلیتی XB1</t>
  </si>
  <si>
    <t>فیکسچر مونتاژ نهایی منبع انتهایی فیدلیتی XB1</t>
  </si>
  <si>
    <t>فیکسچر مونتاژ لوله توری به لوله S شکل داخلی منبع انتهایی فیدلیتی XB1</t>
  </si>
  <si>
    <t>فیکسچر رباتیک درزجوش پوسته های داخلی ورودی کاتالیست XB1</t>
  </si>
  <si>
    <t>فیکسچر کنترلی آویز و کمک آویز قطعه لوله فلکسیبل دار XB1</t>
  </si>
  <si>
    <t>فیکسچر کنترلی خم لوله ورودی و خروجی قطعه لوله فلکسیبل دار XB1</t>
  </si>
  <si>
    <t>فیکسچر کنترل نهایی قطعه لوله فلکسیبل دار XB1</t>
  </si>
  <si>
    <t>فیکسچر تست نشتی فلومتری قطعه لوله فلکسیبل دار XB1</t>
  </si>
  <si>
    <t>فیکسچر کنترل نهایی کاتالیست XB1</t>
  </si>
  <si>
    <t>فیکسچر تست نشتی فلومتری  کاتالیست XB1</t>
  </si>
  <si>
    <t>قالب پانچ موقعیت لوله فشار بشقابی خروجی GPF</t>
  </si>
  <si>
    <t>1404/06/08</t>
  </si>
  <si>
    <t>فیکسچر مونتاژ و خال جوش اسکلت داخلی XB1</t>
  </si>
  <si>
    <t xml:space="preserve"> فیکسچر کنترل خم لوله خم دار داخلی سایلنسر</t>
  </si>
  <si>
    <t xml:space="preserve"> فیکسچر کنترل خم لوله های فشار </t>
  </si>
  <si>
    <t xml:space="preserve"> فیکسچر کنترل نهاییGPF</t>
  </si>
  <si>
    <t xml:space="preserve"> فیکسچر تست نشتی فلومتریGPF</t>
  </si>
  <si>
    <t xml:space="preserve"> فیکسچر کنترل خم لوله خروجی </t>
  </si>
  <si>
    <t xml:space="preserve"> فیکسچر کنترل خم آویز ها و تقویتی ها </t>
  </si>
  <si>
    <t xml:space="preserve"> فیکسچر کنترل خم لوله ورودی منبع انتهایی فیدلیتی XB1</t>
  </si>
  <si>
    <t xml:space="preserve"> فیکسچر کنترل لوله داخلی S شکل منبع انتهایی فیدلیتی XB1</t>
  </si>
  <si>
    <t xml:space="preserve"> فیکسچر کنترل خم لوله خروجی و  فارسی بر لوله چپ و راست منبع انتهایی فیدلیتی XB1</t>
  </si>
  <si>
    <t xml:space="preserve"> فیکسچر تست نشتی فلومتری منبع انتهایی فیدلیتی XB1</t>
  </si>
  <si>
    <t xml:space="preserve"> فیکسچر کنترل آویز منبع انتهایی فیدلیتی XB1</t>
  </si>
  <si>
    <t xml:space="preserve"> فیکسچر کنترل نهایی منبع انتهایی فیدلیتی XB1</t>
  </si>
  <si>
    <t xml:space="preserve"> شابلون تفکیک سنبه های پانچ , قالب پانچ مشبک درب های داخلی الیت و XB1 (جهت خارج کردن سنبه های اضافی برای هر قطعه)</t>
  </si>
  <si>
    <t>1404/06/15</t>
  </si>
  <si>
    <t>1404/06/22</t>
  </si>
  <si>
    <t>N/A</t>
  </si>
  <si>
    <t>فیکسچر مونتاژ نهایی+آویز و تقویتی+لوله های فشار XB1 GPF</t>
  </si>
  <si>
    <t xml:space="preserve"> فیکسچر کنترل خم لوله خروجی و  فارسی بر لوله چپ و راست منبع خم لوله ورودی انتهایی فیدلیتی XB1</t>
  </si>
  <si>
    <t>XB1-Catalyst</t>
  </si>
  <si>
    <t xml:space="preserve"> فیکسچر کنترل خم آویز ها و تقویتی ها GPF</t>
  </si>
  <si>
    <t xml:space="preserve"> فیکسچر کنترل خم لوله خروجی GPF</t>
  </si>
  <si>
    <t xml:space="preserve"> فیکسچر کنترل خم لوله های فشار GPF</t>
  </si>
  <si>
    <t xml:space="preserve"> فیکسچر کنترل خم لوله خم دار داخلی سایلنسرGPF</t>
  </si>
  <si>
    <t xml:space="preserve">قالب پانچ لوله 54 با قطر پانچ  4 میلی متر </t>
  </si>
  <si>
    <t>1404/04/21</t>
  </si>
  <si>
    <t>1404/07/05</t>
  </si>
  <si>
    <t>1404/06/10</t>
  </si>
  <si>
    <t xml:space="preserve"> Xb1 Down Pipe</t>
  </si>
  <si>
    <t>1404/06/24</t>
  </si>
  <si>
    <t>1404/07/12</t>
  </si>
  <si>
    <t>1404/06/27</t>
  </si>
  <si>
    <t>1404/06/18</t>
  </si>
  <si>
    <t>1404/06/19</t>
  </si>
  <si>
    <t>1404/07/04</t>
  </si>
  <si>
    <t>1404/07/09</t>
  </si>
  <si>
    <t>1404/07/06</t>
  </si>
  <si>
    <t>1404/06/11</t>
  </si>
  <si>
    <t>1404/07/20</t>
  </si>
  <si>
    <t>1404/06/06</t>
  </si>
  <si>
    <t>1404/06/28</t>
  </si>
  <si>
    <t>فیکسچر مونتاژ اسکلت داخلی منبع انتهایی فیدلیتی XB1</t>
  </si>
  <si>
    <t>1404/05/21</t>
  </si>
  <si>
    <t>1404/07/02</t>
  </si>
  <si>
    <t>1404/07/03</t>
  </si>
  <si>
    <t>1404/07/25</t>
  </si>
  <si>
    <t>1404/07/10</t>
  </si>
  <si>
    <t>1404/04/31</t>
  </si>
  <si>
    <t>1404/07/01</t>
  </si>
  <si>
    <t>1404/06/20</t>
  </si>
  <si>
    <t>1404/07/07</t>
  </si>
  <si>
    <t>فیکسچر مونتاژ فلنچ ورودی به لوله ورودی انباره انتهایی XB1</t>
  </si>
  <si>
    <t>کد</t>
  </si>
  <si>
    <t>وضعیت</t>
  </si>
  <si>
    <t>عنوان درخواست</t>
  </si>
  <si>
    <t>روش ساخت طراحی</t>
  </si>
  <si>
    <t>طراحی</t>
  </si>
  <si>
    <t>شروع برنامه ریزی</t>
  </si>
  <si>
    <t>پایان برنامه ریزی</t>
  </si>
  <si>
    <t>شروع واقعی</t>
  </si>
  <si>
    <t>پایان واقعی</t>
  </si>
  <si>
    <t>شروع برنامه ریزی(میلادی)</t>
  </si>
  <si>
    <t>پایان برنامه ریزی(میلادی)</t>
  </si>
  <si>
    <t>شروع واقعی(میلادی)</t>
  </si>
  <si>
    <t>پایان واقعی(میلادی)</t>
  </si>
  <si>
    <t>2025/9/15</t>
  </si>
  <si>
    <t>2025/8/5</t>
  </si>
  <si>
    <t>2025/10/6</t>
  </si>
  <si>
    <t>2025/8/17</t>
  </si>
  <si>
    <t>2025/9/30</t>
  </si>
  <si>
    <t>2025/9/20</t>
  </si>
  <si>
    <t>2025/7/29</t>
  </si>
  <si>
    <t>2025/9/26</t>
  </si>
  <si>
    <t>2025/9/9</t>
  </si>
  <si>
    <t>2025/7/15</t>
  </si>
  <si>
    <t>2025/7/25</t>
  </si>
  <si>
    <t>2025/8/27</t>
  </si>
  <si>
    <t>2025/6/29</t>
  </si>
  <si>
    <t>2025/9/5</t>
  </si>
  <si>
    <t>2025/8/15</t>
  </si>
  <si>
    <t>روش ساخت</t>
  </si>
  <si>
    <t>برش کاری</t>
  </si>
  <si>
    <t>تراش کاری CNC</t>
  </si>
  <si>
    <t>فرز کاری CNC</t>
  </si>
  <si>
    <t>پیشرفت ساخت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</si>
</sst>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60429]yyyy/mm/dd"/>
    <numFmt numFmtId="165" formatCode="dd/mm/yyyy\ hh:mm"/>
    <numFmt numFmtId="166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7"/>
      <color theme="1"/>
      <name val="Arial"/>
      <family val="2"/>
    </font>
    <font>
      <strike/>
      <sz val="12"/>
      <color rgb="FFFF0000"/>
      <name val="B Nazanin"/>
      <charset val="178"/>
    </font>
    <font>
      <strike/>
      <sz val="11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trike/>
      <sz val="2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rgb="FFF3FC9A"/>
        <bgColor indexed="64"/>
      </patternFill>
    </fill>
    <fill>
      <patternFill patternType="solid">
        <fgColor rgb="FF25FF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F55555"/>
        <bgColor indexed="64"/>
      </patternFill>
    </fill>
    <fill>
      <patternFill patternType="solid">
        <fgColor rgb="FFF8AEEA"/>
        <bgColor indexed="64"/>
      </patternFill>
    </fill>
    <fill>
      <patternFill patternType="solid">
        <fgColor rgb="FFFFCC99"/>
      </patternFill>
    </fill>
    <fill>
      <patternFill patternType="solid">
        <fgColor rgb="FF5DD5FF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8" borderId="6" applyNumberFormat="0" applyAlignment="0" applyProtection="0"/>
    <xf numFmtId="0" fontId="9" fillId="0" borderId="0"/>
  </cellStyleXfs>
  <cellXfs count="154">
    <xf numFmtId="0" fontId="0" fillId="0" borderId="0" xfId="0"/>
    <xf numFmtId="165" fontId="0" fillId="0" borderId="0" xfId="0" applyNumberFormat="1"/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readingOrder="2"/>
    </xf>
    <xf numFmtId="0" fontId="8" fillId="0" borderId="0" xfId="0" applyFont="1" applyAlignment="1">
      <alignment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9" fontId="0" fillId="0" borderId="18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0" fillId="4" borderId="0" xfId="0" applyFill="1"/>
    <xf numFmtId="2" fontId="0" fillId="4" borderId="0" xfId="0" applyNumberFormat="1" applyFill="1"/>
    <xf numFmtId="1" fontId="0" fillId="4" borderId="0" xfId="0" applyNumberFormat="1" applyFill="1"/>
    <xf numFmtId="0" fontId="0" fillId="4" borderId="0" xfId="0" applyFill="1" applyAlignment="1">
      <alignment wrapText="1"/>
    </xf>
    <xf numFmtId="0" fontId="5" fillId="4" borderId="0" xfId="2" applyFill="1" applyBorder="1" applyAlignment="1">
      <alignment wrapTex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readingOrder="2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4" fontId="8" fillId="4" borderId="0" xfId="0" applyNumberFormat="1" applyFont="1" applyFill="1" applyAlignment="1">
      <alignment horizontal="left" vertical="center" wrapText="1"/>
    </xf>
    <xf numFmtId="14" fontId="0" fillId="4" borderId="0" xfId="0" applyNumberFormat="1" applyFill="1"/>
    <xf numFmtId="2" fontId="0" fillId="4" borderId="0" xfId="0" applyNumberFormat="1" applyFill="1" applyAlignment="1">
      <alignment wrapText="1"/>
    </xf>
    <xf numFmtId="0" fontId="4" fillId="7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9" fontId="18" fillId="0" borderId="10" xfId="1" applyFont="1" applyBorder="1" applyAlignment="1">
      <alignment horizontal="center" vertical="center" wrapText="1"/>
    </xf>
    <xf numFmtId="166" fontId="18" fillId="0" borderId="10" xfId="1" applyNumberFormat="1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horizontal="center" vertical="center" wrapText="1"/>
    </xf>
    <xf numFmtId="1" fontId="18" fillId="2" borderId="10" xfId="0" applyNumberFormat="1" applyFont="1" applyFill="1" applyBorder="1" applyAlignment="1">
      <alignment horizontal="center" vertical="center" textRotation="90" wrapText="1"/>
    </xf>
    <xf numFmtId="0" fontId="18" fillId="2" borderId="10" xfId="0" applyFont="1" applyFill="1" applyBorder="1" applyAlignment="1">
      <alignment horizontal="center" textRotation="90"/>
    </xf>
    <xf numFmtId="9" fontId="18" fillId="2" borderId="10" xfId="1" applyFont="1" applyFill="1" applyBorder="1" applyAlignment="1">
      <alignment horizontal="center" vertical="center" wrapText="1"/>
    </xf>
    <xf numFmtId="10" fontId="18" fillId="4" borderId="10" xfId="0" applyNumberFormat="1" applyFont="1" applyFill="1" applyBorder="1" applyAlignment="1">
      <alignment horizontal="center" vertical="center" wrapText="1"/>
    </xf>
    <xf numFmtId="10" fontId="18" fillId="4" borderId="10" xfId="1" applyNumberFormat="1" applyFont="1" applyFill="1" applyBorder="1" applyAlignment="1">
      <alignment horizontal="center" vertical="center" wrapText="1"/>
    </xf>
    <xf numFmtId="10" fontId="21" fillId="4" borderId="10" xfId="0" applyNumberFormat="1" applyFont="1" applyFill="1" applyBorder="1" applyAlignment="1">
      <alignment horizontal="center" vertical="center" wrapText="1"/>
    </xf>
    <xf numFmtId="10" fontId="21" fillId="4" borderId="10" xfId="1" applyNumberFormat="1" applyFont="1" applyFill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/>
    </xf>
    <xf numFmtId="0" fontId="18" fillId="2" borderId="22" xfId="0" applyFont="1" applyFill="1" applyBorder="1" applyAlignment="1">
      <alignment vertical="center" wrapText="1"/>
    </xf>
    <xf numFmtId="0" fontId="18" fillId="2" borderId="23" xfId="0" applyFont="1" applyFill="1" applyBorder="1" applyAlignment="1">
      <alignment vertical="center" wrapText="1"/>
    </xf>
    <xf numFmtId="0" fontId="18" fillId="2" borderId="24" xfId="0" applyFont="1" applyFill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8" fillId="2" borderId="10" xfId="0" applyFont="1" applyFill="1" applyBorder="1" applyAlignment="1">
      <alignment horizontal="center" vertical="center" textRotation="90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textRotation="90"/>
    </xf>
    <xf numFmtId="0" fontId="18" fillId="2" borderId="10" xfId="0" applyFont="1" applyFill="1" applyBorder="1" applyAlignment="1">
      <alignment horizontal="center" vertical="center" textRotation="90" wrapText="1"/>
    </xf>
    <xf numFmtId="0" fontId="18" fillId="2" borderId="10" xfId="0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 textRotation="90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9" fontId="12" fillId="2" borderId="9" xfId="1" applyFont="1" applyFill="1" applyBorder="1" applyAlignment="1">
      <alignment horizontal="center" vertical="center" wrapText="1"/>
    </xf>
    <xf numFmtId="9" fontId="12" fillId="2" borderId="25" xfId="1" applyFont="1" applyFill="1" applyBorder="1" applyAlignment="1">
      <alignment horizontal="center" vertical="center" wrapText="1"/>
    </xf>
    <xf numFmtId="9" fontId="12" fillId="2" borderId="1" xfId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textRotation="90"/>
    </xf>
    <xf numFmtId="0" fontId="23" fillId="0" borderId="1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19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28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9" fontId="18" fillId="2" borderId="10" xfId="1" applyFont="1" applyFill="1" applyBorder="1" applyAlignment="1">
      <alignment horizontal="center" vertical="center" wrapText="1"/>
    </xf>
    <xf numFmtId="10" fontId="21" fillId="4" borderId="9" xfId="0" applyNumberFormat="1" applyFont="1" applyFill="1" applyBorder="1" applyAlignment="1">
      <alignment horizontal="center" vertical="center" wrapText="1"/>
    </xf>
    <xf numFmtId="10" fontId="21" fillId="4" borderId="1" xfId="0" applyNumberFormat="1" applyFont="1" applyFill="1" applyBorder="1" applyAlignment="1">
      <alignment horizontal="center" vertical="center" wrapText="1"/>
    </xf>
    <xf numFmtId="10" fontId="21" fillId="4" borderId="9" xfId="1" applyNumberFormat="1" applyFont="1" applyFill="1" applyBorder="1" applyAlignment="1">
      <alignment horizontal="center" vertical="center" wrapText="1"/>
    </xf>
    <xf numFmtId="10" fontId="21" fillId="4" borderId="1" xfId="1" applyNumberFormat="1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textRotation="90"/>
    </xf>
    <xf numFmtId="0" fontId="18" fillId="2" borderId="25" xfId="0" applyFont="1" applyFill="1" applyBorder="1" applyAlignment="1">
      <alignment horizontal="center" vertical="center" textRotation="90"/>
    </xf>
    <xf numFmtId="0" fontId="18" fillId="2" borderId="1" xfId="0" applyFont="1" applyFill="1" applyBorder="1" applyAlignment="1">
      <alignment horizontal="center" vertical="center" textRotation="90"/>
    </xf>
    <xf numFmtId="0" fontId="24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9" fontId="24" fillId="0" borderId="10" xfId="0" applyNumberFormat="1" applyFont="1" applyBorder="1" applyAlignment="1">
      <alignment horizontal="center" vertical="center"/>
    </xf>
    <xf numFmtId="9" fontId="24" fillId="0" borderId="9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</cellXfs>
  <cellStyles count="4">
    <cellStyle name="Input" xfId="2" builtinId="20"/>
    <cellStyle name="Normal" xfId="0" builtinId="0"/>
    <cellStyle name="Normal 2" xfId="3" xr:uid="{00000000-0005-0000-0000-000002000000}"/>
    <cellStyle name="Percent" xfId="1" builtinId="5"/>
  </cellStyles>
  <dxfs count="93"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ill>
        <patternFill>
          <bgColor rgb="FFFF99FF"/>
        </patternFill>
      </fill>
    </dxf>
  </dxfs>
  <tableStyles count="1" defaultTableStyle="TableStyleMedium2" defaultPivotStyle="PivotStyleLight16">
    <tableStyle name="Table Style 1" pivot="0" count="2" xr9:uid="{00000000-0011-0000-FFFF-FFFF00000000}">
      <tableStyleElement type="headerRow" dxfId="92"/>
      <tableStyleElement type="secondRowStripe" dxfId="91"/>
    </tableStyle>
  </tableStyles>
  <colors>
    <mruColors>
      <color rgb="FFFFCCFF"/>
      <color rgb="FFFF99FF"/>
      <color rgb="FF5DD5FF"/>
      <color rgb="FF25FF88"/>
      <color rgb="FF5BFFA5"/>
      <color rgb="FFF8AEEA"/>
      <color rgb="FFF3FC9A"/>
      <color rgb="FFF45D34"/>
      <color rgb="FFF4689D"/>
      <color rgb="FFF5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1955" y="350654"/>
          <a:ext cx="2026227" cy="910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zazadeh\AppData\Roaming\Microsoft\AddIns\FarsiTools%20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OneDrive\Desktop\FarsiTools-\FarsiTools%20.xla" TargetMode="External"/><Relationship Id="rId1" Type="http://schemas.openxmlformats.org/officeDocument/2006/relationships/externalLinkPath" Target="FarsiTools-/FarsiTools%20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FarsiTools "/>
    </sheetNames>
    <definedNames>
      <definedName name="s2m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2m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3"/>
  <sheetViews>
    <sheetView workbookViewId="0">
      <selection activeCell="B14" sqref="B14"/>
    </sheetView>
  </sheetViews>
  <sheetFormatPr defaultRowHeight="14.25" x14ac:dyDescent="0.45"/>
  <cols>
    <col min="2" max="2" width="63" bestFit="1" customWidth="1"/>
    <col min="3" max="4" width="15.86328125" bestFit="1" customWidth="1"/>
  </cols>
  <sheetData>
    <row r="1" spans="1:7" x14ac:dyDescent="0.45">
      <c r="A1" t="s">
        <v>19</v>
      </c>
      <c r="B1" t="s">
        <v>20</v>
      </c>
      <c r="C1" s="1">
        <v>45277.645833333299</v>
      </c>
      <c r="D1" s="1">
        <v>45307.645833333299</v>
      </c>
      <c r="E1" t="s">
        <v>21</v>
      </c>
      <c r="F1" t="s">
        <v>22</v>
      </c>
      <c r="G1" t="s">
        <v>22</v>
      </c>
    </row>
    <row r="2" spans="1:7" x14ac:dyDescent="0.45">
      <c r="A2" t="s">
        <v>24</v>
      </c>
      <c r="B2" t="s">
        <v>25</v>
      </c>
      <c r="C2" s="1">
        <v>45280.645833333299</v>
      </c>
      <c r="D2" s="1">
        <v>45312.645833333299</v>
      </c>
      <c r="E2" t="s">
        <v>21</v>
      </c>
      <c r="F2" t="s">
        <v>22</v>
      </c>
      <c r="G2" t="s">
        <v>22</v>
      </c>
    </row>
    <row r="3" spans="1:7" x14ac:dyDescent="0.45">
      <c r="A3" t="s">
        <v>26</v>
      </c>
      <c r="B3" t="s">
        <v>27</v>
      </c>
      <c r="C3" s="1">
        <v>45286.645833333299</v>
      </c>
      <c r="D3" s="1">
        <v>45315.645833333299</v>
      </c>
      <c r="E3" t="s">
        <v>28</v>
      </c>
      <c r="F3" t="s">
        <v>22</v>
      </c>
      <c r="G3" t="s">
        <v>22</v>
      </c>
    </row>
    <row r="4" spans="1:7" x14ac:dyDescent="0.45">
      <c r="A4" t="s">
        <v>29</v>
      </c>
      <c r="B4" t="s">
        <v>30</v>
      </c>
      <c r="C4" s="1">
        <v>45292.645833333299</v>
      </c>
      <c r="D4" s="1">
        <v>45320.645833333299</v>
      </c>
      <c r="E4" t="s">
        <v>31</v>
      </c>
      <c r="F4" t="s">
        <v>22</v>
      </c>
      <c r="G4" t="s">
        <v>22</v>
      </c>
    </row>
    <row r="5" spans="1:7" x14ac:dyDescent="0.45">
      <c r="A5" t="s">
        <v>32</v>
      </c>
      <c r="B5" t="s">
        <v>33</v>
      </c>
      <c r="C5" s="1">
        <v>45308.645833333299</v>
      </c>
      <c r="D5" s="1">
        <v>45335.645833333299</v>
      </c>
      <c r="E5" t="s">
        <v>34</v>
      </c>
      <c r="F5" t="s">
        <v>22</v>
      </c>
      <c r="G5" t="s">
        <v>22</v>
      </c>
    </row>
    <row r="6" spans="1:7" x14ac:dyDescent="0.45">
      <c r="A6" t="s">
        <v>35</v>
      </c>
      <c r="B6" t="s">
        <v>36</v>
      </c>
      <c r="C6" s="1">
        <v>45326.645833333299</v>
      </c>
      <c r="D6" s="1">
        <v>45356.645833333299</v>
      </c>
      <c r="E6" t="s">
        <v>21</v>
      </c>
      <c r="F6" t="s">
        <v>22</v>
      </c>
      <c r="G6" t="s">
        <v>22</v>
      </c>
    </row>
    <row r="7" spans="1:7" x14ac:dyDescent="0.45">
      <c r="A7" t="s">
        <v>37</v>
      </c>
      <c r="B7" t="s">
        <v>38</v>
      </c>
      <c r="C7" s="1">
        <v>45329.645833333299</v>
      </c>
      <c r="D7" s="1">
        <v>45360.645833333299</v>
      </c>
      <c r="E7" t="s">
        <v>28</v>
      </c>
      <c r="F7" t="s">
        <v>22</v>
      </c>
      <c r="G7" t="s">
        <v>22</v>
      </c>
    </row>
    <row r="8" spans="1:7" x14ac:dyDescent="0.45">
      <c r="A8" t="s">
        <v>39</v>
      </c>
      <c r="B8" t="s">
        <v>40</v>
      </c>
      <c r="C8" s="1">
        <v>45356.645833333299</v>
      </c>
      <c r="D8" s="1">
        <v>45416.645833333299</v>
      </c>
      <c r="E8" t="s">
        <v>41</v>
      </c>
      <c r="F8" t="s">
        <v>22</v>
      </c>
      <c r="G8" t="s">
        <v>22</v>
      </c>
    </row>
    <row r="9" spans="1:7" x14ac:dyDescent="0.45">
      <c r="A9" t="s">
        <v>42</v>
      </c>
      <c r="B9" t="s">
        <v>43</v>
      </c>
      <c r="C9" s="1">
        <v>45361.645833333299</v>
      </c>
      <c r="D9" s="1">
        <v>45423.645833333299</v>
      </c>
      <c r="E9" t="s">
        <v>44</v>
      </c>
      <c r="F9" t="s">
        <v>22</v>
      </c>
      <c r="G9" t="s">
        <v>22</v>
      </c>
    </row>
    <row r="10" spans="1:7" x14ac:dyDescent="0.45">
      <c r="A10" t="s">
        <v>45</v>
      </c>
      <c r="B10" t="s">
        <v>46</v>
      </c>
      <c r="C10" s="1">
        <v>45364.645833333299</v>
      </c>
      <c r="D10" s="1">
        <v>45426.645833333299</v>
      </c>
      <c r="E10" t="s">
        <v>44</v>
      </c>
      <c r="F10" t="s">
        <v>22</v>
      </c>
      <c r="G10" t="s">
        <v>22</v>
      </c>
    </row>
    <row r="11" spans="1:7" x14ac:dyDescent="0.45">
      <c r="A11" t="s">
        <v>47</v>
      </c>
      <c r="B11" t="s">
        <v>48</v>
      </c>
      <c r="C11" s="1">
        <v>45364.645833333299</v>
      </c>
      <c r="D11" s="1">
        <v>45426.645833333299</v>
      </c>
      <c r="E11" t="s">
        <v>44</v>
      </c>
      <c r="F11" t="s">
        <v>22</v>
      </c>
      <c r="G11" t="s">
        <v>22</v>
      </c>
    </row>
    <row r="12" spans="1:7" x14ac:dyDescent="0.45">
      <c r="A12" t="s">
        <v>49</v>
      </c>
      <c r="B12" t="s">
        <v>50</v>
      </c>
      <c r="C12" s="1">
        <v>45364.645833333299</v>
      </c>
      <c r="D12" s="1">
        <v>45426.645833333299</v>
      </c>
      <c r="E12" t="s">
        <v>44</v>
      </c>
      <c r="F12" t="s">
        <v>22</v>
      </c>
      <c r="G12" t="s">
        <v>22</v>
      </c>
    </row>
    <row r="13" spans="1:7" x14ac:dyDescent="0.45">
      <c r="A13" t="s">
        <v>51</v>
      </c>
      <c r="B13" t="s">
        <v>52</v>
      </c>
      <c r="C13" t="s">
        <v>23</v>
      </c>
      <c r="D13" s="1">
        <v>45426.645833333299</v>
      </c>
      <c r="E13" t="s">
        <v>22</v>
      </c>
      <c r="F13" t="s">
        <v>22</v>
      </c>
      <c r="G13" t="s">
        <v>22</v>
      </c>
    </row>
    <row r="14" spans="1:7" x14ac:dyDescent="0.45">
      <c r="A14" t="s">
        <v>0</v>
      </c>
      <c r="B14" t="s">
        <v>53</v>
      </c>
      <c r="C14" s="1">
        <v>45255.645833333299</v>
      </c>
      <c r="D14" s="1">
        <v>45290.645833333299</v>
      </c>
      <c r="E14" t="s">
        <v>54</v>
      </c>
      <c r="F14" t="s">
        <v>55</v>
      </c>
      <c r="G14" t="s">
        <v>22</v>
      </c>
    </row>
    <row r="15" spans="1:7" x14ac:dyDescent="0.45">
      <c r="A15" t="s">
        <v>1</v>
      </c>
      <c r="B15" t="s">
        <v>56</v>
      </c>
      <c r="C15" s="1">
        <v>45259.645833333299</v>
      </c>
      <c r="D15" s="1">
        <v>45305.645833333299</v>
      </c>
      <c r="E15" t="s">
        <v>57</v>
      </c>
      <c r="F15" t="s">
        <v>58</v>
      </c>
      <c r="G15" t="s">
        <v>22</v>
      </c>
    </row>
    <row r="16" spans="1:7" x14ac:dyDescent="0.45">
      <c r="A16" t="s">
        <v>2</v>
      </c>
      <c r="B16" t="s">
        <v>59</v>
      </c>
      <c r="C16" s="1">
        <v>45259.645833333299</v>
      </c>
      <c r="D16" s="1">
        <v>45300.645833333299</v>
      </c>
      <c r="E16" t="s">
        <v>41</v>
      </c>
      <c r="F16" t="s">
        <v>60</v>
      </c>
      <c r="G16" t="s">
        <v>22</v>
      </c>
    </row>
    <row r="17" spans="1:7" x14ac:dyDescent="0.45">
      <c r="A17" t="s">
        <v>3</v>
      </c>
      <c r="B17" t="s">
        <v>61</v>
      </c>
      <c r="C17" s="1">
        <v>45270.645833333299</v>
      </c>
      <c r="D17" s="1">
        <v>45305.645833333299</v>
      </c>
      <c r="E17" t="s">
        <v>54</v>
      </c>
      <c r="F17" t="s">
        <v>62</v>
      </c>
      <c r="G17" t="s">
        <v>22</v>
      </c>
    </row>
    <row r="18" spans="1:7" x14ac:dyDescent="0.45">
      <c r="A18" t="s">
        <v>4</v>
      </c>
      <c r="B18" t="s">
        <v>63</v>
      </c>
      <c r="C18" s="1">
        <v>45271.645833333299</v>
      </c>
      <c r="D18" s="1">
        <v>45329.645833333299</v>
      </c>
      <c r="E18" t="s">
        <v>64</v>
      </c>
      <c r="F18" t="s">
        <v>65</v>
      </c>
      <c r="G18" t="s">
        <v>22</v>
      </c>
    </row>
    <row r="19" spans="1:7" x14ac:dyDescent="0.45">
      <c r="A19" t="s">
        <v>5</v>
      </c>
      <c r="B19" t="s">
        <v>66</v>
      </c>
      <c r="C19" s="1">
        <v>45280.645833333299</v>
      </c>
      <c r="D19" s="1">
        <v>45335.645833333299</v>
      </c>
      <c r="E19" t="s">
        <v>67</v>
      </c>
      <c r="F19" t="s">
        <v>22</v>
      </c>
      <c r="G19" t="s">
        <v>22</v>
      </c>
    </row>
    <row r="20" spans="1:7" x14ac:dyDescent="0.45">
      <c r="A20" t="s">
        <v>6</v>
      </c>
      <c r="B20" t="s">
        <v>68</v>
      </c>
      <c r="C20" s="1">
        <v>45280.645833333299</v>
      </c>
      <c r="D20" s="1">
        <v>45335.645833333299</v>
      </c>
      <c r="E20" t="s">
        <v>67</v>
      </c>
      <c r="F20" t="s">
        <v>22</v>
      </c>
      <c r="G20" t="s">
        <v>22</v>
      </c>
    </row>
    <row r="21" spans="1:7" x14ac:dyDescent="0.45">
      <c r="A21" t="s">
        <v>7</v>
      </c>
      <c r="B21" t="s">
        <v>69</v>
      </c>
      <c r="C21" s="1">
        <v>45280.645833333299</v>
      </c>
      <c r="D21" s="1">
        <v>45335.645833333299</v>
      </c>
      <c r="E21" t="s">
        <v>67</v>
      </c>
      <c r="F21" t="s">
        <v>22</v>
      </c>
      <c r="G21" t="s">
        <v>22</v>
      </c>
    </row>
    <row r="22" spans="1:7" x14ac:dyDescent="0.45">
      <c r="A22" t="s">
        <v>8</v>
      </c>
      <c r="B22" t="s">
        <v>70</v>
      </c>
      <c r="C22" s="1">
        <v>45280.645833333299</v>
      </c>
      <c r="D22" s="1">
        <v>45335.645833333299</v>
      </c>
      <c r="E22" t="s">
        <v>67</v>
      </c>
      <c r="F22" t="s">
        <v>22</v>
      </c>
      <c r="G22" t="s">
        <v>22</v>
      </c>
    </row>
    <row r="23" spans="1:7" x14ac:dyDescent="0.45">
      <c r="A23" t="s">
        <v>9</v>
      </c>
      <c r="B23" t="s">
        <v>71</v>
      </c>
      <c r="C23" s="1">
        <v>45284.645833333299</v>
      </c>
      <c r="D23" s="1">
        <v>45314.645833333299</v>
      </c>
      <c r="E23" t="s">
        <v>21</v>
      </c>
      <c r="F23" t="s">
        <v>22</v>
      </c>
      <c r="G23" t="s">
        <v>22</v>
      </c>
    </row>
    <row r="24" spans="1:7" x14ac:dyDescent="0.45">
      <c r="A24" t="s">
        <v>10</v>
      </c>
      <c r="B24" t="s">
        <v>72</v>
      </c>
      <c r="C24" s="1">
        <v>45284.645833333299</v>
      </c>
      <c r="D24" s="1">
        <v>45314.645833333299</v>
      </c>
      <c r="E24" t="s">
        <v>21</v>
      </c>
      <c r="F24" t="s">
        <v>22</v>
      </c>
      <c r="G24" t="s">
        <v>22</v>
      </c>
    </row>
    <row r="25" spans="1:7" x14ac:dyDescent="0.45">
      <c r="A25" t="s">
        <v>11</v>
      </c>
      <c r="B25" t="s">
        <v>73</v>
      </c>
      <c r="C25" s="1">
        <v>45279.645833333299</v>
      </c>
      <c r="D25" s="1">
        <v>45294.645833333299</v>
      </c>
      <c r="E25" t="s">
        <v>74</v>
      </c>
      <c r="F25" t="s">
        <v>22</v>
      </c>
      <c r="G25" t="s">
        <v>22</v>
      </c>
    </row>
    <row r="26" spans="1:7" x14ac:dyDescent="0.45">
      <c r="A26" t="s">
        <v>12</v>
      </c>
      <c r="B26" t="s">
        <v>75</v>
      </c>
      <c r="C26" s="1">
        <v>45294.645833333299</v>
      </c>
      <c r="D26" s="1">
        <v>45335.645833333299</v>
      </c>
      <c r="E26" t="s">
        <v>41</v>
      </c>
      <c r="F26" t="s">
        <v>22</v>
      </c>
      <c r="G26" t="s">
        <v>22</v>
      </c>
    </row>
    <row r="27" spans="1:7" x14ac:dyDescent="0.45">
      <c r="A27" t="s">
        <v>13</v>
      </c>
      <c r="B27" t="s">
        <v>76</v>
      </c>
      <c r="C27" s="1">
        <v>45300.645833333299</v>
      </c>
      <c r="D27" s="1">
        <v>45340.645833333299</v>
      </c>
      <c r="E27" t="s">
        <v>77</v>
      </c>
      <c r="F27" t="s">
        <v>22</v>
      </c>
      <c r="G27" t="s">
        <v>22</v>
      </c>
    </row>
    <row r="28" spans="1:7" x14ac:dyDescent="0.45">
      <c r="A28" t="s">
        <v>14</v>
      </c>
      <c r="B28" t="s">
        <v>78</v>
      </c>
      <c r="C28" s="1">
        <v>45300.645833333299</v>
      </c>
      <c r="D28" s="1">
        <v>45340.645833333299</v>
      </c>
      <c r="E28" t="s">
        <v>77</v>
      </c>
      <c r="F28" t="s">
        <v>22</v>
      </c>
      <c r="G28" t="s">
        <v>22</v>
      </c>
    </row>
    <row r="29" spans="1:7" x14ac:dyDescent="0.45">
      <c r="A29" t="s">
        <v>15</v>
      </c>
      <c r="B29" t="s">
        <v>79</v>
      </c>
      <c r="C29" s="1">
        <v>45300.645833333299</v>
      </c>
      <c r="D29" s="1">
        <v>45308.645833333299</v>
      </c>
      <c r="E29" t="s">
        <v>80</v>
      </c>
      <c r="F29" t="s">
        <v>22</v>
      </c>
      <c r="G29" t="s">
        <v>22</v>
      </c>
    </row>
    <row r="30" spans="1:7" x14ac:dyDescent="0.45">
      <c r="A30" t="s">
        <v>16</v>
      </c>
      <c r="B30" t="s">
        <v>81</v>
      </c>
      <c r="C30" s="1">
        <v>45280.645833333299</v>
      </c>
      <c r="D30" s="1">
        <v>45467.645138888904</v>
      </c>
      <c r="E30" t="s">
        <v>82</v>
      </c>
      <c r="F30" t="s">
        <v>22</v>
      </c>
      <c r="G30" t="s">
        <v>22</v>
      </c>
    </row>
    <row r="31" spans="1:7" x14ac:dyDescent="0.45">
      <c r="A31" t="s">
        <v>17</v>
      </c>
      <c r="B31" t="s">
        <v>83</v>
      </c>
      <c r="C31" s="1">
        <v>45280.645833333299</v>
      </c>
      <c r="D31" s="1">
        <v>45467.645138888904</v>
      </c>
      <c r="E31" t="s">
        <v>82</v>
      </c>
      <c r="F31" t="s">
        <v>22</v>
      </c>
      <c r="G31" t="s">
        <v>22</v>
      </c>
    </row>
    <row r="32" spans="1:7" x14ac:dyDescent="0.45">
      <c r="A32" t="s">
        <v>18</v>
      </c>
      <c r="B32" t="s">
        <v>84</v>
      </c>
      <c r="C32" s="1">
        <v>45280.645833333299</v>
      </c>
      <c r="D32" s="1">
        <v>45467.645138888904</v>
      </c>
      <c r="E32" t="s">
        <v>82</v>
      </c>
      <c r="F32" t="s">
        <v>22</v>
      </c>
      <c r="G32" t="s">
        <v>22</v>
      </c>
    </row>
    <row r="33" spans="1:7" x14ac:dyDescent="0.45">
      <c r="A33" t="s">
        <v>85</v>
      </c>
      <c r="B33" t="s">
        <v>86</v>
      </c>
      <c r="C33" t="s">
        <v>23</v>
      </c>
      <c r="D33" s="1">
        <v>45467.645138888904</v>
      </c>
      <c r="E33" t="s">
        <v>22</v>
      </c>
      <c r="F33" t="s">
        <v>22</v>
      </c>
      <c r="G33" t="s">
        <v>22</v>
      </c>
    </row>
    <row r="34" spans="1:7" x14ac:dyDescent="0.45">
      <c r="A34" t="s">
        <v>87</v>
      </c>
      <c r="B34" t="s">
        <v>88</v>
      </c>
      <c r="C34" s="1">
        <v>45231.270833333299</v>
      </c>
      <c r="D34" s="1">
        <v>45276.666666666701</v>
      </c>
      <c r="E34" t="s">
        <v>57</v>
      </c>
      <c r="F34" t="s">
        <v>89</v>
      </c>
      <c r="G34" t="s">
        <v>90</v>
      </c>
    </row>
    <row r="35" spans="1:7" x14ac:dyDescent="0.45">
      <c r="A35" t="s">
        <v>91</v>
      </c>
      <c r="B35" t="s">
        <v>92</v>
      </c>
      <c r="C35" s="1">
        <v>45235.645833333299</v>
      </c>
      <c r="D35" s="1">
        <v>45300.645833333299</v>
      </c>
      <c r="E35" t="s">
        <v>93</v>
      </c>
      <c r="F35" t="s">
        <v>94</v>
      </c>
      <c r="G35" t="s">
        <v>22</v>
      </c>
    </row>
    <row r="36" spans="1:7" x14ac:dyDescent="0.45">
      <c r="A36" t="s">
        <v>95</v>
      </c>
      <c r="B36" t="s">
        <v>96</v>
      </c>
      <c r="C36" s="1">
        <v>45235.645833333299</v>
      </c>
      <c r="D36" s="1">
        <v>45290.645833333299</v>
      </c>
      <c r="E36" t="s">
        <v>67</v>
      </c>
      <c r="F36" t="s">
        <v>97</v>
      </c>
      <c r="G36" t="s">
        <v>22</v>
      </c>
    </row>
    <row r="37" spans="1:7" x14ac:dyDescent="0.45">
      <c r="A37" t="s">
        <v>98</v>
      </c>
      <c r="B37" t="s">
        <v>99</v>
      </c>
      <c r="C37" s="1">
        <v>45237.645833333299</v>
      </c>
      <c r="D37" s="1">
        <v>45354.645833333299</v>
      </c>
      <c r="E37" t="s">
        <v>100</v>
      </c>
      <c r="F37" t="s">
        <v>101</v>
      </c>
      <c r="G37" t="s">
        <v>22</v>
      </c>
    </row>
    <row r="38" spans="1:7" x14ac:dyDescent="0.45">
      <c r="A38" t="s">
        <v>102</v>
      </c>
      <c r="B38" t="s">
        <v>103</v>
      </c>
      <c r="C38" s="1">
        <v>45238.645833333299</v>
      </c>
      <c r="D38" s="1">
        <v>45305.645833333299</v>
      </c>
      <c r="E38" t="s">
        <v>93</v>
      </c>
      <c r="F38" t="s">
        <v>104</v>
      </c>
      <c r="G38" t="s">
        <v>22</v>
      </c>
    </row>
    <row r="39" spans="1:7" x14ac:dyDescent="0.45">
      <c r="A39" t="s">
        <v>105</v>
      </c>
      <c r="B39" t="s">
        <v>106</v>
      </c>
      <c r="C39" s="1">
        <v>45238.645833333299</v>
      </c>
      <c r="D39" s="1">
        <v>45314.645833333299</v>
      </c>
      <c r="E39" t="s">
        <v>107</v>
      </c>
      <c r="F39" t="s">
        <v>108</v>
      </c>
      <c r="G39" t="s">
        <v>22</v>
      </c>
    </row>
    <row r="40" spans="1:7" x14ac:dyDescent="0.45">
      <c r="A40" t="s">
        <v>109</v>
      </c>
      <c r="B40" t="s">
        <v>110</v>
      </c>
      <c r="C40" s="1">
        <v>45258.645833333299</v>
      </c>
      <c r="D40" s="1">
        <v>45305.645833333299</v>
      </c>
      <c r="E40" t="s">
        <v>111</v>
      </c>
      <c r="F40" t="s">
        <v>112</v>
      </c>
      <c r="G40" t="s">
        <v>22</v>
      </c>
    </row>
    <row r="41" spans="1:7" x14ac:dyDescent="0.45">
      <c r="A41" t="s">
        <v>113</v>
      </c>
      <c r="B41" t="s">
        <v>114</v>
      </c>
      <c r="C41" s="1">
        <v>45293.645833333299</v>
      </c>
      <c r="D41" s="1">
        <v>45308.645833333299</v>
      </c>
      <c r="E41" t="s">
        <v>74</v>
      </c>
      <c r="F41" t="s">
        <v>22</v>
      </c>
      <c r="G41" t="s">
        <v>22</v>
      </c>
    </row>
    <row r="42" spans="1:7" x14ac:dyDescent="0.45">
      <c r="A42" t="s">
        <v>115</v>
      </c>
      <c r="B42" t="s">
        <v>116</v>
      </c>
      <c r="C42" s="1">
        <v>45298.645833333299</v>
      </c>
      <c r="D42" s="1">
        <v>45320.645833333299</v>
      </c>
      <c r="E42" t="s">
        <v>117</v>
      </c>
      <c r="F42" t="s">
        <v>22</v>
      </c>
      <c r="G42" t="s">
        <v>22</v>
      </c>
    </row>
    <row r="43" spans="1:7" x14ac:dyDescent="0.45">
      <c r="A43" t="s">
        <v>118</v>
      </c>
      <c r="B43" t="s">
        <v>119</v>
      </c>
      <c r="C43" s="1">
        <v>45307.645833333299</v>
      </c>
      <c r="D43" s="1">
        <v>45329.645833333299</v>
      </c>
      <c r="E43" t="s">
        <v>117</v>
      </c>
      <c r="F43" t="s">
        <v>22</v>
      </c>
      <c r="G43" t="s">
        <v>22</v>
      </c>
    </row>
    <row r="44" spans="1:7" x14ac:dyDescent="0.45">
      <c r="A44" t="s">
        <v>120</v>
      </c>
      <c r="B44" t="s">
        <v>121</v>
      </c>
      <c r="C44" s="1">
        <v>45308.645833333299</v>
      </c>
      <c r="D44" s="1">
        <v>45315.645833333299</v>
      </c>
      <c r="E44" t="s">
        <v>122</v>
      </c>
      <c r="F44" t="s">
        <v>22</v>
      </c>
      <c r="G44" t="s">
        <v>22</v>
      </c>
    </row>
    <row r="45" spans="1:7" x14ac:dyDescent="0.45">
      <c r="A45" t="s">
        <v>123</v>
      </c>
      <c r="B45" t="s">
        <v>124</v>
      </c>
      <c r="C45" s="1">
        <v>45314.645833333299</v>
      </c>
      <c r="D45" s="1">
        <v>45353.645833333299</v>
      </c>
      <c r="E45" t="s">
        <v>125</v>
      </c>
      <c r="F45" t="s">
        <v>22</v>
      </c>
      <c r="G45" t="s">
        <v>22</v>
      </c>
    </row>
    <row r="46" spans="1:7" x14ac:dyDescent="0.45">
      <c r="A46" t="s">
        <v>126</v>
      </c>
      <c r="B46" t="s">
        <v>127</v>
      </c>
      <c r="C46" s="1">
        <v>45318.645833333299</v>
      </c>
      <c r="D46" s="1">
        <v>45348.645833333299</v>
      </c>
      <c r="E46" t="s">
        <v>21</v>
      </c>
      <c r="F46" t="s">
        <v>22</v>
      </c>
      <c r="G46" t="s">
        <v>22</v>
      </c>
    </row>
    <row r="47" spans="1:7" x14ac:dyDescent="0.45">
      <c r="A47" t="s">
        <v>128</v>
      </c>
      <c r="B47" t="s">
        <v>129</v>
      </c>
      <c r="C47" s="1">
        <v>45322.645833333299</v>
      </c>
      <c r="D47" s="1">
        <v>45340.645833333299</v>
      </c>
      <c r="E47" t="s">
        <v>130</v>
      </c>
      <c r="F47" t="s">
        <v>22</v>
      </c>
      <c r="G47" t="s">
        <v>22</v>
      </c>
    </row>
    <row r="48" spans="1:7" x14ac:dyDescent="0.45">
      <c r="A48" t="s">
        <v>131</v>
      </c>
      <c r="B48" t="s">
        <v>132</v>
      </c>
      <c r="C48" s="1">
        <v>45335.645833333299</v>
      </c>
      <c r="D48" s="1">
        <v>45360.645833333299</v>
      </c>
      <c r="E48" t="s">
        <v>133</v>
      </c>
      <c r="F48" t="s">
        <v>22</v>
      </c>
      <c r="G48" t="s">
        <v>22</v>
      </c>
    </row>
    <row r="49" spans="1:7" x14ac:dyDescent="0.45">
      <c r="A49" t="s">
        <v>134</v>
      </c>
      <c r="B49" t="s">
        <v>135</v>
      </c>
      <c r="C49" s="1">
        <v>45339.645833333299</v>
      </c>
      <c r="D49" s="1">
        <v>45355.645833333299</v>
      </c>
      <c r="E49" t="s">
        <v>130</v>
      </c>
      <c r="F49" t="s">
        <v>22</v>
      </c>
      <c r="G49" t="s">
        <v>22</v>
      </c>
    </row>
    <row r="50" spans="1:7" x14ac:dyDescent="0.45">
      <c r="A50" t="s">
        <v>136</v>
      </c>
      <c r="B50" t="s">
        <v>137</v>
      </c>
      <c r="C50" s="1">
        <v>45342.645833333299</v>
      </c>
      <c r="D50" s="1">
        <v>45355.645833333299</v>
      </c>
      <c r="E50" t="s">
        <v>138</v>
      </c>
      <c r="F50" t="s">
        <v>22</v>
      </c>
      <c r="G50" t="s">
        <v>22</v>
      </c>
    </row>
    <row r="51" spans="1:7" x14ac:dyDescent="0.45">
      <c r="A51" t="s">
        <v>139</v>
      </c>
      <c r="B51" t="s">
        <v>140</v>
      </c>
      <c r="C51" s="1">
        <v>45348.645833333299</v>
      </c>
      <c r="D51" s="1">
        <v>45360.645833333299</v>
      </c>
      <c r="E51" t="s">
        <v>141</v>
      </c>
      <c r="F51" t="s">
        <v>22</v>
      </c>
      <c r="G51" t="s">
        <v>22</v>
      </c>
    </row>
    <row r="52" spans="1:7" x14ac:dyDescent="0.45">
      <c r="A52" t="s">
        <v>142</v>
      </c>
      <c r="B52" t="s">
        <v>143</v>
      </c>
      <c r="C52" s="1">
        <v>45350.645833333299</v>
      </c>
      <c r="D52" s="1">
        <v>45363.645833333299</v>
      </c>
      <c r="E52" t="s">
        <v>138</v>
      </c>
      <c r="F52" t="s">
        <v>22</v>
      </c>
      <c r="G52" t="s">
        <v>22</v>
      </c>
    </row>
    <row r="53" spans="1:7" x14ac:dyDescent="0.45">
      <c r="A53" t="s">
        <v>144</v>
      </c>
      <c r="B53" t="s">
        <v>145</v>
      </c>
      <c r="C53" t="s">
        <v>23</v>
      </c>
      <c r="D53" s="1">
        <v>45363.645833333299</v>
      </c>
      <c r="E53" t="s">
        <v>22</v>
      </c>
      <c r="F53" t="s">
        <v>22</v>
      </c>
      <c r="G5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-0.249977111117893"/>
  </sheetPr>
  <dimension ref="A1:AD54"/>
  <sheetViews>
    <sheetView topLeftCell="A4" zoomScale="55" zoomScaleNormal="55" zoomScaleSheetLayoutView="40" zoomScalePageLayoutView="40" workbookViewId="0">
      <selection activeCell="K19" sqref="K19"/>
    </sheetView>
  </sheetViews>
  <sheetFormatPr defaultColWidth="9.1328125" defaultRowHeight="15.75" outlineLevelCol="1" x14ac:dyDescent="0.45"/>
  <cols>
    <col min="1" max="1" width="19.265625" style="18" bestFit="1" customWidth="1"/>
    <col min="2" max="2" width="20" style="19" bestFit="1" customWidth="1"/>
    <col min="3" max="3" width="65.59765625" style="20" customWidth="1"/>
    <col min="4" max="4" width="9.59765625" style="21" hidden="1" customWidth="1"/>
    <col min="5" max="5" width="23.73046875" style="20" customWidth="1"/>
    <col min="6" max="7" width="23.3984375" style="22" bestFit="1" customWidth="1" outlineLevel="1"/>
    <col min="8" max="8" width="17.73046875" style="22" hidden="1" customWidth="1" outlineLevel="1"/>
    <col min="9" max="9" width="16.1328125" style="22" hidden="1" customWidth="1" outlineLevel="1"/>
    <col min="10" max="10" width="23.3984375" style="22" customWidth="1" outlineLevel="1"/>
    <col min="11" max="11" width="23.3984375" style="22" bestFit="1" customWidth="1" outlineLevel="1"/>
    <col min="12" max="13" width="15.1328125" style="22" hidden="1" customWidth="1" outlineLevel="1"/>
    <col min="14" max="14" width="14.265625" style="22" hidden="1" customWidth="1" outlineLevel="1"/>
    <col min="15" max="15" width="15.59765625" style="24" hidden="1" customWidth="1" outlineLevel="1"/>
    <col min="16" max="16" width="17" style="22" hidden="1" customWidth="1" outlineLevel="1"/>
    <col min="17" max="17" width="84.265625" style="22" bestFit="1" customWidth="1" outlineLevel="1"/>
    <col min="18" max="18" width="15" style="25" customWidth="1" outlineLevel="1"/>
    <col min="19" max="19" width="19.3984375" style="25" customWidth="1" outlineLevel="1"/>
    <col min="20" max="20" width="22" style="26" customWidth="1" outlineLevel="1"/>
    <col min="21" max="21" width="19.59765625" style="26" bestFit="1" customWidth="1" outlineLevel="1"/>
    <col min="22" max="22" width="15.73046875" style="26" customWidth="1" outlineLevel="1"/>
    <col min="23" max="23" width="17.3984375" style="26" customWidth="1" outlineLevel="1"/>
    <col min="24" max="24" width="21.59765625" style="26" bestFit="1" customWidth="1" outlineLevel="1"/>
    <col min="25" max="25" width="11.1328125" style="26" hidden="1" customWidth="1" outlineLevel="1"/>
    <col min="26" max="26" width="4.73046875" style="26" hidden="1" customWidth="1" outlineLevel="1"/>
    <col min="27" max="27" width="14.3984375" style="26" hidden="1" customWidth="1" outlineLevel="1"/>
    <col min="28" max="28" width="23.73046875" style="25" customWidth="1" outlineLevel="1"/>
    <col min="29" max="29" width="16.59765625" style="25" customWidth="1" outlineLevel="1"/>
    <col min="30" max="30" width="96.59765625" style="22" customWidth="1"/>
    <col min="31" max="16384" width="9.1328125" style="22"/>
  </cols>
  <sheetData>
    <row r="1" spans="1:30" customFormat="1" ht="19.7" customHeight="1" x14ac:dyDescent="0.45">
      <c r="A1" s="76" t="s">
        <v>922</v>
      </c>
      <c r="B1" s="76"/>
      <c r="C1" s="76"/>
      <c r="D1" s="77" t="s">
        <v>923</v>
      </c>
      <c r="E1" s="77"/>
    </row>
    <row r="2" spans="1:30" customFormat="1" ht="19.7" customHeight="1" x14ac:dyDescent="0.45">
      <c r="A2" s="76"/>
      <c r="B2" s="76"/>
      <c r="C2" s="76"/>
      <c r="D2" s="77"/>
      <c r="E2" s="77"/>
    </row>
    <row r="3" spans="1:30" customFormat="1" ht="19.7" customHeight="1" x14ac:dyDescent="0.45">
      <c r="A3" s="76"/>
      <c r="B3" s="76"/>
      <c r="C3" s="76"/>
      <c r="D3" s="77"/>
      <c r="E3" s="77"/>
      <c r="G3" s="6"/>
    </row>
    <row r="4" spans="1:30" customFormat="1" ht="22.5" customHeight="1" x14ac:dyDescent="0.45">
      <c r="A4" s="75">
        <f>COUNTIF(B13:B19,"On time")</f>
        <v>0</v>
      </c>
      <c r="B4" s="75"/>
      <c r="C4" s="75"/>
      <c r="D4" s="75">
        <f>COUNTIF(B13:B19,"Inprogress")</f>
        <v>7</v>
      </c>
      <c r="E4" s="75"/>
    </row>
    <row r="5" spans="1:30" customFormat="1" ht="24.75" customHeight="1" x14ac:dyDescent="0.45">
      <c r="A5" s="75"/>
      <c r="B5" s="75"/>
      <c r="C5" s="75"/>
      <c r="D5" s="75"/>
      <c r="E5" s="75"/>
    </row>
    <row r="6" spans="1:30" customFormat="1" ht="19.7" customHeight="1" x14ac:dyDescent="0.45">
      <c r="A6" s="78" t="s">
        <v>978</v>
      </c>
      <c r="B6" s="78" t="s">
        <v>957</v>
      </c>
      <c r="C6" s="82" t="s">
        <v>979</v>
      </c>
      <c r="D6" s="79" t="s">
        <v>174</v>
      </c>
      <c r="E6" s="82" t="s">
        <v>959</v>
      </c>
      <c r="F6" s="80" t="s">
        <v>974</v>
      </c>
      <c r="G6" s="80"/>
      <c r="H6" s="51"/>
      <c r="I6" s="51"/>
      <c r="J6" s="80" t="s">
        <v>973</v>
      </c>
      <c r="K6" s="80"/>
      <c r="L6" s="51"/>
      <c r="M6" s="51"/>
      <c r="N6" s="51"/>
      <c r="O6" s="81" t="s">
        <v>154</v>
      </c>
      <c r="P6" s="94" t="s">
        <v>161</v>
      </c>
      <c r="Q6" s="79" t="s">
        <v>154</v>
      </c>
      <c r="R6" s="91" t="s">
        <v>963</v>
      </c>
      <c r="S6" s="52"/>
      <c r="T6" s="62"/>
      <c r="U6" s="63"/>
      <c r="V6" s="63"/>
      <c r="W6" s="63"/>
      <c r="X6" s="64"/>
      <c r="Y6" s="52"/>
      <c r="Z6" s="52"/>
      <c r="AA6" s="89" t="s">
        <v>148</v>
      </c>
      <c r="AB6" s="87" t="s">
        <v>969</v>
      </c>
      <c r="AC6" s="87" t="s">
        <v>970</v>
      </c>
    </row>
    <row r="7" spans="1:30" customFormat="1" ht="19.7" customHeight="1" x14ac:dyDescent="0.45">
      <c r="A7" s="78"/>
      <c r="B7" s="78"/>
      <c r="C7" s="83"/>
      <c r="D7" s="79"/>
      <c r="E7" s="83"/>
      <c r="F7" s="80"/>
      <c r="G7" s="80"/>
      <c r="H7" s="51"/>
      <c r="I7" s="51"/>
      <c r="J7" s="80"/>
      <c r="K7" s="80"/>
      <c r="L7" s="51"/>
      <c r="M7" s="51"/>
      <c r="N7" s="51"/>
      <c r="O7" s="81"/>
      <c r="P7" s="94"/>
      <c r="Q7" s="78"/>
      <c r="R7" s="92"/>
      <c r="S7" s="88" t="s">
        <v>980</v>
      </c>
      <c r="T7" s="88" t="s">
        <v>981</v>
      </c>
      <c r="U7" s="89" t="s">
        <v>965</v>
      </c>
      <c r="V7" s="90" t="s">
        <v>982</v>
      </c>
      <c r="W7" s="88" t="s">
        <v>977</v>
      </c>
      <c r="X7" s="88" t="s">
        <v>968</v>
      </c>
      <c r="Y7" s="53"/>
      <c r="Z7" s="53"/>
      <c r="AA7" s="89"/>
      <c r="AB7" s="87"/>
      <c r="AC7" s="87"/>
    </row>
    <row r="8" spans="1:30" customFormat="1" ht="36.75" customHeight="1" x14ac:dyDescent="0.45">
      <c r="A8" s="78"/>
      <c r="B8" s="78"/>
      <c r="C8" s="83"/>
      <c r="D8" s="79"/>
      <c r="E8" s="83"/>
      <c r="F8" s="85" t="s">
        <v>962</v>
      </c>
      <c r="G8" s="85" t="s">
        <v>961</v>
      </c>
      <c r="H8" s="51"/>
      <c r="I8" s="51"/>
      <c r="J8" s="85" t="s">
        <v>962</v>
      </c>
      <c r="K8" s="85" t="s">
        <v>961</v>
      </c>
      <c r="L8" s="51"/>
      <c r="M8" s="51"/>
      <c r="N8" s="51"/>
      <c r="O8" s="81"/>
      <c r="P8" s="94"/>
      <c r="Q8" s="78"/>
      <c r="R8" s="93"/>
      <c r="S8" s="88"/>
      <c r="T8" s="88"/>
      <c r="U8" s="89"/>
      <c r="V8" s="90"/>
      <c r="W8" s="88"/>
      <c r="X8" s="88"/>
      <c r="Y8" s="53"/>
      <c r="Z8" s="53"/>
      <c r="AA8" s="89"/>
      <c r="AB8" s="87"/>
      <c r="AC8" s="87"/>
    </row>
    <row r="9" spans="1:30" customFormat="1" ht="40.5" customHeight="1" x14ac:dyDescent="0.45">
      <c r="A9" s="78"/>
      <c r="B9" s="78"/>
      <c r="C9" s="84"/>
      <c r="D9" s="52"/>
      <c r="E9" s="84"/>
      <c r="F9" s="86"/>
      <c r="G9" s="86"/>
      <c r="H9" s="52"/>
      <c r="I9" s="52"/>
      <c r="J9" s="86"/>
      <c r="K9" s="86"/>
      <c r="L9" s="51"/>
      <c r="M9" s="51"/>
      <c r="N9" s="51"/>
      <c r="O9" s="54"/>
      <c r="P9" s="55"/>
      <c r="Q9" s="78"/>
      <c r="R9" s="56">
        <v>0.1</v>
      </c>
      <c r="S9" s="56">
        <v>0.1</v>
      </c>
      <c r="T9" s="56">
        <v>0.05</v>
      </c>
      <c r="U9" s="56">
        <v>0.1</v>
      </c>
      <c r="V9" s="56">
        <v>0.45</v>
      </c>
      <c r="W9" s="56">
        <v>0.1</v>
      </c>
      <c r="X9" s="56">
        <v>0.1</v>
      </c>
      <c r="Y9" s="56">
        <v>0</v>
      </c>
      <c r="Z9" s="56">
        <v>0</v>
      </c>
      <c r="AA9" s="89"/>
      <c r="AB9" s="57">
        <f>AVERAGE(AB13:AB19)</f>
        <v>0.6696428571428571</v>
      </c>
      <c r="AC9" s="58">
        <f>AVERAGE(AC13:AC19)</f>
        <v>0.6785714285714286</v>
      </c>
    </row>
    <row r="10" spans="1:30" customFormat="1" ht="60" customHeight="1" x14ac:dyDescent="0.45">
      <c r="A10" s="28">
        <v>8234</v>
      </c>
      <c r="B10" s="42" t="str">
        <f t="shared" ref="B10:B12" si="0">IF(AC10=1,"On time","Inprogress")</f>
        <v>On time</v>
      </c>
      <c r="C10" s="43" t="s">
        <v>984</v>
      </c>
      <c r="D10" s="42"/>
      <c r="E10" s="43" t="s">
        <v>963</v>
      </c>
      <c r="F10" s="45" t="s">
        <v>953</v>
      </c>
      <c r="G10" s="45" t="s">
        <v>985</v>
      </c>
      <c r="H10" s="45"/>
      <c r="I10" s="45"/>
      <c r="J10" s="45" t="s">
        <v>953</v>
      </c>
      <c r="K10" s="45" t="s">
        <v>976</v>
      </c>
      <c r="L10" s="45"/>
      <c r="M10" s="45"/>
      <c r="N10" s="45"/>
      <c r="O10" s="48"/>
      <c r="P10" s="48"/>
      <c r="Q10" s="48"/>
      <c r="R10" s="49">
        <v>1</v>
      </c>
      <c r="S10" s="49">
        <v>1</v>
      </c>
      <c r="T10" s="49">
        <v>1</v>
      </c>
      <c r="U10" s="49">
        <v>1</v>
      </c>
      <c r="V10" s="49">
        <v>1</v>
      </c>
      <c r="W10" s="49">
        <v>1</v>
      </c>
      <c r="X10" s="49">
        <v>1</v>
      </c>
      <c r="Y10" s="49"/>
      <c r="Z10" s="49"/>
      <c r="AA10" s="49"/>
      <c r="AB10" s="50">
        <f t="shared" ref="AB10" si="1">SUMPRODUCT($T$9:$AA$9,T10:AA10)/0.8</f>
        <v>1</v>
      </c>
      <c r="AC10" s="50">
        <f t="shared" ref="AC10" si="2">SUMPRODUCT($R$9:$AA$9,R10:AA10)</f>
        <v>1</v>
      </c>
    </row>
    <row r="11" spans="1:30" customFormat="1" ht="60" customHeight="1" x14ac:dyDescent="0.45">
      <c r="A11" s="28">
        <v>8428</v>
      </c>
      <c r="B11" s="42" t="s">
        <v>151</v>
      </c>
      <c r="C11" s="43" t="s">
        <v>1072</v>
      </c>
      <c r="D11" s="42"/>
      <c r="E11" s="43" t="s">
        <v>963</v>
      </c>
      <c r="F11" s="45" t="s">
        <v>1013</v>
      </c>
      <c r="G11" s="45" t="s">
        <v>997</v>
      </c>
      <c r="H11" s="45"/>
      <c r="I11" s="45"/>
      <c r="J11" s="45" t="s">
        <v>1013</v>
      </c>
      <c r="K11" s="45" t="s">
        <v>1064</v>
      </c>
      <c r="L11" s="45"/>
      <c r="M11" s="45"/>
      <c r="N11" s="45"/>
      <c r="O11" s="48"/>
      <c r="P11" s="48"/>
      <c r="Q11" s="48"/>
      <c r="R11" s="49">
        <v>1</v>
      </c>
      <c r="S11" s="49">
        <v>1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/>
      <c r="Z11" s="49"/>
      <c r="AA11" s="49"/>
      <c r="AB11" s="50"/>
      <c r="AC11" s="50"/>
    </row>
    <row r="12" spans="1:30" customFormat="1" ht="60" customHeight="1" x14ac:dyDescent="0.45">
      <c r="A12" s="28">
        <v>8079</v>
      </c>
      <c r="B12" s="42" t="str">
        <f t="shared" si="0"/>
        <v>On time</v>
      </c>
      <c r="C12" s="43" t="s">
        <v>1009</v>
      </c>
      <c r="D12" s="42"/>
      <c r="E12" s="43" t="s">
        <v>963</v>
      </c>
      <c r="F12" s="45" t="s">
        <v>975</v>
      </c>
      <c r="G12" s="45" t="s">
        <v>1010</v>
      </c>
      <c r="H12" s="45"/>
      <c r="I12" s="45"/>
      <c r="J12" s="45" t="s">
        <v>975</v>
      </c>
      <c r="K12" s="45" t="s">
        <v>1074</v>
      </c>
      <c r="L12" s="45"/>
      <c r="M12" s="45"/>
      <c r="N12" s="45"/>
      <c r="O12" s="48"/>
      <c r="P12" s="48"/>
      <c r="Q12" s="48"/>
      <c r="R12" s="49">
        <v>1</v>
      </c>
      <c r="S12" s="49">
        <v>1</v>
      </c>
      <c r="T12" s="49">
        <v>1</v>
      </c>
      <c r="U12" s="49">
        <v>1</v>
      </c>
      <c r="V12" s="49">
        <v>1</v>
      </c>
      <c r="W12" s="49">
        <v>1</v>
      </c>
      <c r="X12" s="49">
        <v>1</v>
      </c>
      <c r="Y12" s="49">
        <v>0</v>
      </c>
      <c r="Z12" s="49">
        <v>0</v>
      </c>
      <c r="AA12" s="49">
        <v>0</v>
      </c>
      <c r="AB12" s="50">
        <f>SUMPRODUCT($T$9:$AA$9,T12:AA12)/0.8</f>
        <v>1</v>
      </c>
      <c r="AC12" s="50">
        <f>SUMPRODUCT($R$9:$AA$9,R12:AA12)</f>
        <v>1</v>
      </c>
    </row>
    <row r="13" spans="1:30" customFormat="1" ht="60" customHeight="1" x14ac:dyDescent="0.45">
      <c r="A13" s="28">
        <v>8116</v>
      </c>
      <c r="B13" s="42" t="s">
        <v>151</v>
      </c>
      <c r="C13" s="43" t="s">
        <v>1046</v>
      </c>
      <c r="D13" s="44"/>
      <c r="E13" s="43" t="s">
        <v>963</v>
      </c>
      <c r="F13" s="45" t="s">
        <v>1087</v>
      </c>
      <c r="G13" s="45" t="s">
        <v>997</v>
      </c>
      <c r="H13" s="46"/>
      <c r="I13" s="46"/>
      <c r="J13" s="45" t="s">
        <v>1087</v>
      </c>
      <c r="K13" s="45"/>
      <c r="L13" s="46"/>
      <c r="M13" s="46"/>
      <c r="N13" s="46"/>
      <c r="O13" s="47"/>
      <c r="P13" s="47"/>
      <c r="Q13" s="48"/>
      <c r="R13" s="49">
        <v>1</v>
      </c>
      <c r="S13" s="49">
        <v>1</v>
      </c>
      <c r="T13" s="49">
        <v>1</v>
      </c>
      <c r="U13" s="49">
        <v>1</v>
      </c>
      <c r="V13" s="49">
        <v>1</v>
      </c>
      <c r="W13" s="49">
        <v>0.5</v>
      </c>
      <c r="X13" s="49">
        <v>0</v>
      </c>
      <c r="Y13" s="49">
        <v>0</v>
      </c>
      <c r="Z13" s="49">
        <v>0</v>
      </c>
      <c r="AA13" s="49">
        <v>0</v>
      </c>
      <c r="AB13" s="50">
        <f>SUMPRODUCT($T$9:$AA$9,T13:AA13)/0.8</f>
        <v>0.81250000000000011</v>
      </c>
      <c r="AC13" s="50">
        <f>SUMPRODUCT($R$9:$AA$9,R13:AA13)</f>
        <v>0.85000000000000009</v>
      </c>
    </row>
    <row r="14" spans="1:30" customFormat="1" ht="60" customHeight="1" x14ac:dyDescent="0.45">
      <c r="A14" s="28">
        <v>8129</v>
      </c>
      <c r="B14" s="42" t="s">
        <v>151</v>
      </c>
      <c r="C14" s="43" t="s">
        <v>1003</v>
      </c>
      <c r="D14" s="42"/>
      <c r="E14" s="43" t="s">
        <v>963</v>
      </c>
      <c r="F14" s="45" t="s">
        <v>1007</v>
      </c>
      <c r="G14" s="45" t="s">
        <v>985</v>
      </c>
      <c r="H14" s="45"/>
      <c r="I14" s="45"/>
      <c r="J14" s="45"/>
      <c r="K14" s="45"/>
      <c r="L14" s="45"/>
      <c r="M14" s="45"/>
      <c r="N14" s="45"/>
      <c r="O14" s="48"/>
      <c r="P14" s="48"/>
      <c r="Q14" s="48"/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50">
        <f>SUMPRODUCT($T$9:$AA$9,T14:AA14)/0.8</f>
        <v>0</v>
      </c>
      <c r="AC14" s="50">
        <f>SUMPRODUCT($R$9:$AA$9,R14:AA14)</f>
        <v>0</v>
      </c>
      <c r="AD14" s="65" t="s">
        <v>986</v>
      </c>
    </row>
    <row r="15" spans="1:30" customFormat="1" ht="60" customHeight="1" x14ac:dyDescent="0.45">
      <c r="A15" s="28">
        <v>8109</v>
      </c>
      <c r="B15" s="42" t="s">
        <v>151</v>
      </c>
      <c r="C15" s="43" t="s">
        <v>1008</v>
      </c>
      <c r="D15" s="42"/>
      <c r="E15" s="43" t="s">
        <v>963</v>
      </c>
      <c r="F15" s="45"/>
      <c r="G15" s="45"/>
      <c r="H15" s="45"/>
      <c r="I15" s="45"/>
      <c r="J15" s="45"/>
      <c r="K15" s="45"/>
      <c r="L15" s="45"/>
      <c r="M15" s="45"/>
      <c r="N15" s="45"/>
      <c r="O15" s="48"/>
      <c r="P15" s="48"/>
      <c r="Q15" s="48"/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50">
        <f>SUMPRODUCT($T$9:$AA$9,T15:AA15)/0.8</f>
        <v>0</v>
      </c>
      <c r="AC15" s="50">
        <f>SUMPRODUCT($R$9:$AA$9,R15:AA15)</f>
        <v>0</v>
      </c>
    </row>
    <row r="16" spans="1:30" customFormat="1" ht="60" customHeight="1" x14ac:dyDescent="0.45">
      <c r="A16" s="28">
        <v>7894</v>
      </c>
      <c r="B16" s="42" t="s">
        <v>151</v>
      </c>
      <c r="C16" s="43" t="s">
        <v>1011</v>
      </c>
      <c r="D16" s="42"/>
      <c r="E16" s="43" t="s">
        <v>963</v>
      </c>
      <c r="F16" s="45" t="s">
        <v>1062</v>
      </c>
      <c r="G16" s="45" t="s">
        <v>1083</v>
      </c>
      <c r="H16" s="45"/>
      <c r="I16" s="45"/>
      <c r="J16" s="45" t="s">
        <v>1062</v>
      </c>
      <c r="K16" s="45"/>
      <c r="L16" s="45"/>
      <c r="M16" s="45"/>
      <c r="N16" s="45"/>
      <c r="O16" s="48"/>
      <c r="P16" s="48"/>
      <c r="Q16" s="48"/>
      <c r="R16" s="49">
        <v>1</v>
      </c>
      <c r="S16" s="49">
        <v>1</v>
      </c>
      <c r="T16" s="49">
        <v>1</v>
      </c>
      <c r="U16" s="49">
        <v>1</v>
      </c>
      <c r="V16" s="49">
        <v>1</v>
      </c>
      <c r="W16" s="49">
        <v>0.8</v>
      </c>
      <c r="X16" s="49">
        <v>0.2</v>
      </c>
      <c r="Y16" s="49">
        <v>0</v>
      </c>
      <c r="Z16" s="49">
        <v>0</v>
      </c>
      <c r="AA16" s="49">
        <v>0</v>
      </c>
      <c r="AB16" s="50">
        <f t="shared" ref="AB16:AB19" si="3">SUMPRODUCT($T$9:$AA$9,T16:AA16)/0.8</f>
        <v>0.87500000000000022</v>
      </c>
      <c r="AC16" s="50">
        <f t="shared" ref="AC16:AC19" si="4">SUMPRODUCT($R$9:$AA$9,R16:AA16)</f>
        <v>0.90000000000000013</v>
      </c>
    </row>
    <row r="17" spans="1:29" customFormat="1" ht="60" customHeight="1" x14ac:dyDescent="0.45">
      <c r="A17" s="28">
        <v>7893</v>
      </c>
      <c r="B17" s="42" t="s">
        <v>151</v>
      </c>
      <c r="C17" s="43" t="s">
        <v>1012</v>
      </c>
      <c r="D17" s="42"/>
      <c r="E17" s="43" t="s">
        <v>963</v>
      </c>
      <c r="F17" s="45" t="s">
        <v>985</v>
      </c>
      <c r="G17" s="45" t="s">
        <v>1013</v>
      </c>
      <c r="H17" s="45"/>
      <c r="I17" s="45"/>
      <c r="J17" s="45" t="s">
        <v>985</v>
      </c>
      <c r="K17" s="45" t="s">
        <v>1081</v>
      </c>
      <c r="L17" s="45"/>
      <c r="M17" s="45"/>
      <c r="N17" s="45"/>
      <c r="O17" s="48"/>
      <c r="P17" s="48"/>
      <c r="Q17" s="48"/>
      <c r="R17" s="49">
        <v>1</v>
      </c>
      <c r="S17" s="49">
        <v>1</v>
      </c>
      <c r="T17" s="49">
        <v>1</v>
      </c>
      <c r="U17" s="49">
        <v>1</v>
      </c>
      <c r="V17" s="49">
        <v>1</v>
      </c>
      <c r="W17" s="49">
        <v>1</v>
      </c>
      <c r="X17" s="49">
        <v>1</v>
      </c>
      <c r="Y17" s="49">
        <v>0</v>
      </c>
      <c r="Z17" s="49">
        <v>0</v>
      </c>
      <c r="AA17" s="49">
        <v>0</v>
      </c>
      <c r="AB17" s="50">
        <f t="shared" si="3"/>
        <v>1</v>
      </c>
      <c r="AC17" s="50">
        <f t="shared" si="4"/>
        <v>1</v>
      </c>
    </row>
    <row r="18" spans="1:29" customFormat="1" ht="60" customHeight="1" x14ac:dyDescent="0.45">
      <c r="A18" s="28">
        <v>7892</v>
      </c>
      <c r="B18" s="42" t="s">
        <v>151</v>
      </c>
      <c r="C18" s="43" t="s">
        <v>1014</v>
      </c>
      <c r="D18" s="42"/>
      <c r="E18" s="43" t="s">
        <v>963</v>
      </c>
      <c r="F18" s="45" t="s">
        <v>985</v>
      </c>
      <c r="G18" s="45" t="s">
        <v>1015</v>
      </c>
      <c r="H18" s="45"/>
      <c r="I18" s="45"/>
      <c r="J18" s="45" t="s">
        <v>985</v>
      </c>
      <c r="K18" s="45" t="s">
        <v>1081</v>
      </c>
      <c r="L18" s="45"/>
      <c r="M18" s="45"/>
      <c r="N18" s="45"/>
      <c r="O18" s="48"/>
      <c r="P18" s="48"/>
      <c r="Q18" s="48"/>
      <c r="R18" s="49">
        <v>1</v>
      </c>
      <c r="S18" s="49">
        <v>1</v>
      </c>
      <c r="T18" s="49">
        <v>1</v>
      </c>
      <c r="U18" s="49">
        <v>1</v>
      </c>
      <c r="V18" s="49">
        <v>1</v>
      </c>
      <c r="W18" s="49">
        <v>1</v>
      </c>
      <c r="X18" s="49">
        <v>1</v>
      </c>
      <c r="Y18" s="49">
        <v>0</v>
      </c>
      <c r="Z18" s="49">
        <v>0</v>
      </c>
      <c r="AA18" s="49">
        <v>0</v>
      </c>
      <c r="AB18" s="50">
        <f t="shared" si="3"/>
        <v>1</v>
      </c>
      <c r="AC18" s="50">
        <f t="shared" si="4"/>
        <v>1</v>
      </c>
    </row>
    <row r="19" spans="1:29" customFormat="1" ht="60" customHeight="1" x14ac:dyDescent="0.45">
      <c r="A19" s="28">
        <v>7891</v>
      </c>
      <c r="B19" s="42" t="s">
        <v>151</v>
      </c>
      <c r="C19" s="43" t="s">
        <v>1016</v>
      </c>
      <c r="D19" s="42"/>
      <c r="E19" s="43" t="s">
        <v>963</v>
      </c>
      <c r="F19" s="45" t="s">
        <v>952</v>
      </c>
      <c r="G19" s="45" t="s">
        <v>1015</v>
      </c>
      <c r="H19" s="45"/>
      <c r="I19" s="45"/>
      <c r="J19" s="45" t="s">
        <v>952</v>
      </c>
      <c r="K19" s="45" t="s">
        <v>1081</v>
      </c>
      <c r="L19" s="45"/>
      <c r="M19" s="45"/>
      <c r="N19" s="45"/>
      <c r="O19" s="48"/>
      <c r="P19" s="48"/>
      <c r="Q19" s="48"/>
      <c r="R19" s="49">
        <v>1</v>
      </c>
      <c r="S19" s="49">
        <v>1</v>
      </c>
      <c r="T19" s="49">
        <v>1</v>
      </c>
      <c r="U19" s="49">
        <v>1</v>
      </c>
      <c r="V19" s="49">
        <v>1</v>
      </c>
      <c r="W19" s="49">
        <v>1</v>
      </c>
      <c r="X19" s="49">
        <v>1</v>
      </c>
      <c r="Y19" s="49">
        <v>0</v>
      </c>
      <c r="Z19" s="49">
        <v>0</v>
      </c>
      <c r="AA19" s="49">
        <v>0</v>
      </c>
      <c r="AB19" s="50">
        <f t="shared" si="3"/>
        <v>1</v>
      </c>
      <c r="AC19" s="50">
        <f t="shared" si="4"/>
        <v>1</v>
      </c>
    </row>
    <row r="20" spans="1:29" x14ac:dyDescent="0.45">
      <c r="G20" s="23"/>
      <c r="H20" s="23"/>
      <c r="I20" s="23"/>
      <c r="J20" s="23"/>
    </row>
    <row r="21" spans="1:29" x14ac:dyDescent="0.45">
      <c r="G21" s="23"/>
      <c r="H21" s="23"/>
      <c r="I21" s="23"/>
      <c r="J21" s="23"/>
    </row>
    <row r="22" spans="1:29" x14ac:dyDescent="0.45">
      <c r="G22" s="23"/>
      <c r="H22" s="23"/>
      <c r="I22" s="23"/>
      <c r="J22" s="23"/>
    </row>
    <row r="23" spans="1:29" x14ac:dyDescent="0.45">
      <c r="G23" s="23"/>
      <c r="H23" s="23"/>
      <c r="I23" s="23"/>
      <c r="J23" s="23"/>
    </row>
    <row r="24" spans="1:29" x14ac:dyDescent="0.45">
      <c r="G24" s="23"/>
      <c r="H24" s="23"/>
      <c r="I24" s="23"/>
      <c r="J24" s="23"/>
    </row>
    <row r="25" spans="1:29" x14ac:dyDescent="0.45">
      <c r="G25" s="23"/>
      <c r="H25" s="23"/>
      <c r="I25" s="23"/>
      <c r="J25" s="23"/>
    </row>
    <row r="26" spans="1:29" x14ac:dyDescent="0.45">
      <c r="G26" s="23"/>
      <c r="H26" s="23"/>
      <c r="I26" s="23"/>
      <c r="J26" s="23"/>
      <c r="K26" s="39"/>
    </row>
    <row r="27" spans="1:29" x14ac:dyDescent="0.45">
      <c r="G27" s="23"/>
      <c r="H27" s="23"/>
      <c r="I27" s="23"/>
      <c r="J27" s="23"/>
    </row>
    <row r="28" spans="1:29" x14ac:dyDescent="0.45">
      <c r="G28" s="23"/>
      <c r="H28" s="23"/>
      <c r="I28" s="23"/>
      <c r="J28" s="23"/>
    </row>
    <row r="29" spans="1:29" x14ac:dyDescent="0.45">
      <c r="G29" s="23"/>
      <c r="H29" s="23"/>
      <c r="I29" s="23"/>
      <c r="J29" s="23"/>
    </row>
    <row r="30" spans="1:29" x14ac:dyDescent="0.45">
      <c r="G30" s="23"/>
      <c r="H30" s="23"/>
      <c r="I30" s="23"/>
      <c r="J30" s="23"/>
    </row>
    <row r="31" spans="1:29" x14ac:dyDescent="0.45">
      <c r="G31" s="23"/>
      <c r="H31" s="23"/>
      <c r="I31" s="23"/>
      <c r="J31" s="23"/>
    </row>
    <row r="32" spans="1:29" x14ac:dyDescent="0.45">
      <c r="G32" s="23"/>
      <c r="H32" s="23"/>
      <c r="I32" s="23"/>
      <c r="J32" s="23"/>
    </row>
    <row r="33" spans="3:19" x14ac:dyDescent="0.45">
      <c r="G33" s="23"/>
      <c r="H33" s="23"/>
      <c r="I33" s="23"/>
      <c r="J33" s="23"/>
    </row>
    <row r="34" spans="3:19" x14ac:dyDescent="0.45">
      <c r="G34" s="23"/>
      <c r="H34" s="23"/>
      <c r="I34" s="23"/>
      <c r="J34" s="23"/>
    </row>
    <row r="35" spans="3:19" x14ac:dyDescent="0.45">
      <c r="C35" s="38">
        <v>45724</v>
      </c>
      <c r="G35" s="23"/>
      <c r="H35" s="23"/>
      <c r="I35" s="23"/>
      <c r="J35" s="23"/>
    </row>
    <row r="36" spans="3:19" x14ac:dyDescent="0.45">
      <c r="G36" s="23"/>
      <c r="H36" s="23"/>
      <c r="I36" s="23"/>
      <c r="J36" s="23"/>
    </row>
    <row r="37" spans="3:19" x14ac:dyDescent="0.45">
      <c r="G37" s="23"/>
      <c r="H37" s="23"/>
      <c r="I37" s="23"/>
      <c r="J37" s="23"/>
    </row>
    <row r="38" spans="3:19" x14ac:dyDescent="0.45">
      <c r="G38" s="23"/>
      <c r="H38" s="23"/>
      <c r="I38" s="23"/>
      <c r="J38" s="23"/>
    </row>
    <row r="39" spans="3:19" x14ac:dyDescent="0.45">
      <c r="G39" s="23"/>
      <c r="H39" s="23"/>
      <c r="I39" s="23"/>
      <c r="J39" s="23"/>
    </row>
    <row r="40" spans="3:19" x14ac:dyDescent="0.45">
      <c r="G40" s="23"/>
      <c r="H40" s="23"/>
      <c r="I40" s="23"/>
      <c r="J40" s="23"/>
    </row>
    <row r="41" spans="3:19" x14ac:dyDescent="0.45">
      <c r="G41" s="23"/>
      <c r="H41" s="23"/>
      <c r="I41" s="23"/>
      <c r="J41" s="23"/>
    </row>
    <row r="43" spans="3:19" x14ac:dyDescent="0.45">
      <c r="S43" s="40"/>
    </row>
    <row r="44" spans="3:19" x14ac:dyDescent="0.45">
      <c r="S44" s="40"/>
    </row>
    <row r="45" spans="3:19" x14ac:dyDescent="0.45">
      <c r="S45" s="40"/>
    </row>
    <row r="46" spans="3:19" x14ac:dyDescent="0.45">
      <c r="S46" s="40"/>
    </row>
    <row r="47" spans="3:19" x14ac:dyDescent="0.45">
      <c r="S47" s="40"/>
    </row>
    <row r="48" spans="3:19" x14ac:dyDescent="0.45">
      <c r="S48" s="40"/>
    </row>
    <row r="49" spans="19:19" x14ac:dyDescent="0.45">
      <c r="S49" s="40"/>
    </row>
    <row r="50" spans="19:19" x14ac:dyDescent="0.45">
      <c r="S50" s="40"/>
    </row>
    <row r="51" spans="19:19" x14ac:dyDescent="0.45">
      <c r="S51" s="40"/>
    </row>
    <row r="52" spans="19:19" x14ac:dyDescent="0.45">
      <c r="S52" s="40"/>
    </row>
    <row r="53" spans="19:19" x14ac:dyDescent="0.45">
      <c r="S53" s="40"/>
    </row>
    <row r="54" spans="19:19" x14ac:dyDescent="0.45">
      <c r="S54" s="40"/>
    </row>
  </sheetData>
  <mergeCells count="28">
    <mergeCell ref="R6:R8"/>
    <mergeCell ref="P6:P8"/>
    <mergeCell ref="Q6:Q9"/>
    <mergeCell ref="AB6:AB8"/>
    <mergeCell ref="AA6:AA9"/>
    <mergeCell ref="AC6:AC8"/>
    <mergeCell ref="S7:S8"/>
    <mergeCell ref="T7:T8"/>
    <mergeCell ref="U7:U8"/>
    <mergeCell ref="V7:V8"/>
    <mergeCell ref="W7:W8"/>
    <mergeCell ref="X7:X8"/>
    <mergeCell ref="F6:G7"/>
    <mergeCell ref="O6:O8"/>
    <mergeCell ref="C6:C9"/>
    <mergeCell ref="E6:E9"/>
    <mergeCell ref="F8:F9"/>
    <mergeCell ref="G8:G9"/>
    <mergeCell ref="J8:J9"/>
    <mergeCell ref="K8:K9"/>
    <mergeCell ref="J6:K7"/>
    <mergeCell ref="A4:C5"/>
    <mergeCell ref="D4:E5"/>
    <mergeCell ref="A1:C3"/>
    <mergeCell ref="D1:E3"/>
    <mergeCell ref="B6:B9"/>
    <mergeCell ref="D6:D8"/>
    <mergeCell ref="A6:A9"/>
  </mergeCells>
  <conditionalFormatting sqref="B10:B19">
    <cfRule type="cellIs" dxfId="90" priority="47" operator="equal">
      <formula>"Delete"</formula>
    </cfRule>
    <cfRule type="cellIs" dxfId="89" priority="56" operator="equal">
      <formula>"On time"</formula>
    </cfRule>
    <cfRule type="cellIs" dxfId="88" priority="57" operator="equal">
      <formula>"Delay"</formula>
    </cfRule>
    <cfRule type="cellIs" dxfId="87" priority="59" operator="equal">
      <formula>"Inprogress"</formula>
    </cfRule>
    <cfRule type="cellIs" dxfId="86" priority="60" operator="equal">
      <formula>"Ahead of schedule"</formula>
    </cfRule>
  </conditionalFormatting>
  <conditionalFormatting sqref="R10:X11">
    <cfRule type="cellIs" dxfId="85" priority="1" operator="equal">
      <formula>1</formula>
    </cfRule>
  </conditionalFormatting>
  <conditionalFormatting sqref="W12:X12 R12:V13 W13:AA13 R14:X19">
    <cfRule type="cellIs" dxfId="84" priority="38" operator="equal">
      <formula>1</formula>
    </cfRule>
  </conditionalFormatting>
  <conditionalFormatting sqref="AB9:AC9">
    <cfRule type="dataBar" priority="52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{A0E4330F-FE45-4F77-9BC3-E6640D0E8665}</x14:id>
        </ext>
      </extLst>
    </cfRule>
  </conditionalFormatting>
  <conditionalFormatting sqref="AB10:AC19">
    <cfRule type="cellIs" dxfId="83" priority="12" operator="between">
      <formula>0.01</formula>
      <formula>0.99</formula>
    </cfRule>
    <cfRule type="cellIs" dxfId="82" priority="13" operator="equal">
      <formula>1</formula>
    </cfRule>
    <cfRule type="cellIs" dxfId="81" priority="14" operator="equal">
      <formula>0</formula>
    </cfRule>
  </conditionalFormatting>
  <pageMargins left="0.1" right="0" top="0.1" bottom="0" header="0" footer="0"/>
  <pageSetup paperSize="9" scale="37" fitToHeight="2" orientation="landscape" horizontalDpi="2400" verticalDpi="24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4330F-FE45-4F77-9BC3-E6640D0E86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AB9:AC9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BE90-C2E0-49B7-A90E-F38888AE9B1D}">
  <sheetPr>
    <tabColor theme="5" tint="-0.249977111117893"/>
  </sheetPr>
  <dimension ref="A1:U12"/>
  <sheetViews>
    <sheetView topLeftCell="K1" workbookViewId="0">
      <selection activeCell="M1" sqref="M1:U1"/>
    </sheetView>
  </sheetViews>
  <sheetFormatPr defaultColWidth="9.1328125" defaultRowHeight="18" x14ac:dyDescent="0.45"/>
  <cols>
    <col min="1" max="1" width="9.59765625" style="70" bestFit="1" customWidth="1"/>
    <col min="2" max="2" width="13.3984375" style="70" bestFit="1" customWidth="1"/>
    <col min="3" max="3" width="73.265625" style="70" bestFit="1" customWidth="1"/>
    <col min="4" max="4" width="19" style="70" bestFit="1" customWidth="1"/>
    <col min="5" max="5" width="22.265625" style="70" bestFit="1" customWidth="1"/>
    <col min="6" max="6" width="25.265625" style="70" bestFit="1" customWidth="1"/>
    <col min="7" max="7" width="22.265625" style="70" bestFit="1" customWidth="1"/>
    <col min="8" max="8" width="24.59765625" style="70" bestFit="1" customWidth="1"/>
    <col min="9" max="9" width="22.265625" style="70" bestFit="1" customWidth="1"/>
    <col min="10" max="10" width="22.265625" style="70" customWidth="1"/>
    <col min="11" max="11" width="22.265625" style="70" bestFit="1" customWidth="1"/>
    <col min="12" max="12" width="22.265625" style="70" customWidth="1"/>
    <col min="13" max="13" width="11.1328125" style="70" bestFit="1" customWidth="1"/>
    <col min="14" max="14" width="17.1328125" style="70" bestFit="1" customWidth="1"/>
    <col min="15" max="15" width="16.265625" style="70" bestFit="1" customWidth="1"/>
    <col min="16" max="16" width="15.265625" style="70" bestFit="1" customWidth="1"/>
    <col min="17" max="18" width="11.1328125" style="70" bestFit="1" customWidth="1"/>
    <col min="19" max="19" width="11.59765625" style="70" bestFit="1" customWidth="1"/>
    <col min="20" max="20" width="15.86328125" style="70" bestFit="1" customWidth="1"/>
    <col min="21" max="21" width="11.265625" style="70" bestFit="1" customWidth="1"/>
    <col min="22" max="16384" width="9.1328125" style="70"/>
  </cols>
  <sheetData>
    <row r="1" spans="1:21" ht="18.75" customHeight="1" x14ac:dyDescent="0.45">
      <c r="A1" s="95" t="s">
        <v>1100</v>
      </c>
      <c r="B1" s="95" t="s">
        <v>1101</v>
      </c>
      <c r="C1" s="95" t="s">
        <v>1102</v>
      </c>
      <c r="D1" s="95" t="s">
        <v>1103</v>
      </c>
      <c r="E1" s="96" t="s">
        <v>1105</v>
      </c>
      <c r="F1" s="95" t="s">
        <v>1109</v>
      </c>
      <c r="G1" s="95" t="s">
        <v>1106</v>
      </c>
      <c r="H1" s="95" t="s">
        <v>1110</v>
      </c>
      <c r="I1" s="95" t="s">
        <v>1107</v>
      </c>
      <c r="J1" s="96" t="s">
        <v>1111</v>
      </c>
      <c r="K1" s="95" t="s">
        <v>1108</v>
      </c>
      <c r="L1" s="96" t="s">
        <v>1112</v>
      </c>
      <c r="M1" s="69" t="s">
        <v>1104</v>
      </c>
      <c r="N1" s="69" t="s">
        <v>980</v>
      </c>
      <c r="O1" s="69" t="s">
        <v>981</v>
      </c>
      <c r="P1" s="69" t="s">
        <v>965</v>
      </c>
      <c r="Q1" s="69" t="s">
        <v>982</v>
      </c>
      <c r="R1" s="69" t="s">
        <v>977</v>
      </c>
      <c r="S1" s="69" t="s">
        <v>968</v>
      </c>
      <c r="T1" s="69" t="s">
        <v>969</v>
      </c>
      <c r="U1" s="69" t="s">
        <v>970</v>
      </c>
    </row>
    <row r="2" spans="1:21" ht="18.75" customHeight="1" x14ac:dyDescent="0.45">
      <c r="A2" s="95"/>
      <c r="B2" s="95"/>
      <c r="C2" s="95"/>
      <c r="D2" s="95"/>
      <c r="E2" s="97"/>
      <c r="F2" s="95"/>
      <c r="G2" s="95"/>
      <c r="H2" s="95"/>
      <c r="I2" s="95"/>
      <c r="J2" s="97"/>
      <c r="K2" s="95"/>
      <c r="L2" s="97"/>
      <c r="M2" s="72">
        <v>0.1</v>
      </c>
      <c r="N2" s="72">
        <v>0.1</v>
      </c>
      <c r="O2" s="72">
        <v>0.05</v>
      </c>
      <c r="P2" s="72">
        <v>0.1</v>
      </c>
      <c r="Q2" s="72">
        <v>0.45</v>
      </c>
      <c r="R2" s="72">
        <v>0.1</v>
      </c>
      <c r="S2" s="72">
        <v>0.1</v>
      </c>
      <c r="T2" s="73">
        <v>0.6696428571428571</v>
      </c>
      <c r="U2" s="73">
        <v>0.6785714285714286</v>
      </c>
    </row>
    <row r="3" spans="1:21" ht="18.75" customHeight="1" x14ac:dyDescent="0.45">
      <c r="A3" s="69">
        <v>8234</v>
      </c>
      <c r="B3" s="69" t="s">
        <v>150</v>
      </c>
      <c r="C3" s="69" t="s">
        <v>984</v>
      </c>
      <c r="D3" s="69" t="s">
        <v>1104</v>
      </c>
      <c r="E3" s="71" t="s">
        <v>953</v>
      </c>
      <c r="F3" s="74" t="s">
        <v>1122</v>
      </c>
      <c r="G3" s="71" t="s">
        <v>985</v>
      </c>
      <c r="H3" s="71" t="s">
        <v>1114</v>
      </c>
      <c r="I3" s="71" t="s">
        <v>953</v>
      </c>
      <c r="J3" s="74" t="s">
        <v>1122</v>
      </c>
      <c r="K3" s="71" t="s">
        <v>976</v>
      </c>
      <c r="L3" s="71" t="s">
        <v>1119</v>
      </c>
      <c r="M3" s="72">
        <v>1</v>
      </c>
      <c r="N3" s="72">
        <v>1</v>
      </c>
      <c r="O3" s="72">
        <v>1</v>
      </c>
      <c r="P3" s="72">
        <v>1</v>
      </c>
      <c r="Q3" s="72">
        <v>1</v>
      </c>
      <c r="R3" s="72">
        <v>1</v>
      </c>
      <c r="S3" s="72">
        <v>1</v>
      </c>
      <c r="T3" s="73">
        <v>1</v>
      </c>
      <c r="U3" s="73">
        <v>1</v>
      </c>
    </row>
    <row r="4" spans="1:21" ht="18.75" customHeight="1" x14ac:dyDescent="0.45">
      <c r="A4" s="69">
        <v>8428</v>
      </c>
      <c r="B4" s="69" t="s">
        <v>151</v>
      </c>
      <c r="C4" s="69" t="s">
        <v>1072</v>
      </c>
      <c r="D4" s="69" t="s">
        <v>1104</v>
      </c>
      <c r="E4" s="71" t="s">
        <v>1013</v>
      </c>
      <c r="F4" s="74" t="s">
        <v>1113</v>
      </c>
      <c r="G4" s="71" t="s">
        <v>997</v>
      </c>
      <c r="H4" s="71" t="s">
        <v>1115</v>
      </c>
      <c r="I4" s="71" t="s">
        <v>1013</v>
      </c>
      <c r="J4" s="74" t="s">
        <v>1113</v>
      </c>
      <c r="K4" s="71"/>
      <c r="L4" s="71"/>
      <c r="M4" s="72">
        <v>1</v>
      </c>
      <c r="N4" s="72">
        <v>1</v>
      </c>
      <c r="O4" s="72">
        <v>0</v>
      </c>
      <c r="P4" s="72">
        <v>0</v>
      </c>
      <c r="Q4" s="72">
        <v>0</v>
      </c>
      <c r="R4" s="72">
        <v>0</v>
      </c>
      <c r="S4" s="72">
        <v>0</v>
      </c>
      <c r="T4" s="73"/>
      <c r="U4" s="73"/>
    </row>
    <row r="5" spans="1:21" x14ac:dyDescent="0.45">
      <c r="A5" s="69">
        <v>8079</v>
      </c>
      <c r="B5" s="69" t="s">
        <v>150</v>
      </c>
      <c r="C5" s="69" t="s">
        <v>1009</v>
      </c>
      <c r="D5" s="69" t="s">
        <v>1104</v>
      </c>
      <c r="E5" s="71" t="s">
        <v>975</v>
      </c>
      <c r="F5" s="74" t="s">
        <v>1123</v>
      </c>
      <c r="G5" s="71" t="s">
        <v>1010</v>
      </c>
      <c r="H5" s="71" t="s">
        <v>1116</v>
      </c>
      <c r="I5" s="71" t="s">
        <v>975</v>
      </c>
      <c r="J5" s="74" t="s">
        <v>1123</v>
      </c>
      <c r="K5" s="71" t="s">
        <v>1074</v>
      </c>
      <c r="L5" s="71" t="s">
        <v>1120</v>
      </c>
      <c r="M5" s="72">
        <v>1</v>
      </c>
      <c r="N5" s="72">
        <v>1</v>
      </c>
      <c r="O5" s="72">
        <v>1</v>
      </c>
      <c r="P5" s="72">
        <v>1</v>
      </c>
      <c r="Q5" s="72">
        <v>1</v>
      </c>
      <c r="R5" s="72">
        <v>1</v>
      </c>
      <c r="S5" s="72">
        <v>1</v>
      </c>
      <c r="T5" s="73">
        <v>1</v>
      </c>
      <c r="U5" s="73">
        <v>1</v>
      </c>
    </row>
    <row r="6" spans="1:21" x14ac:dyDescent="0.45">
      <c r="A6" s="69">
        <v>8116</v>
      </c>
      <c r="B6" s="69" t="s">
        <v>151</v>
      </c>
      <c r="C6" s="69" t="s">
        <v>1046</v>
      </c>
      <c r="D6" s="69" t="s">
        <v>1104</v>
      </c>
      <c r="E6" s="71" t="s">
        <v>1087</v>
      </c>
      <c r="F6" s="74" t="s">
        <v>1124</v>
      </c>
      <c r="G6" s="71" t="s">
        <v>997</v>
      </c>
      <c r="H6" s="71" t="s">
        <v>1115</v>
      </c>
      <c r="I6" s="71" t="s">
        <v>1087</v>
      </c>
      <c r="J6" s="74" t="s">
        <v>1124</v>
      </c>
      <c r="K6" s="71"/>
      <c r="L6" s="71"/>
      <c r="M6" s="72">
        <v>1</v>
      </c>
      <c r="N6" s="72">
        <v>1</v>
      </c>
      <c r="O6" s="72">
        <v>1</v>
      </c>
      <c r="P6" s="72">
        <v>1</v>
      </c>
      <c r="Q6" s="72">
        <v>1</v>
      </c>
      <c r="R6" s="72">
        <v>0.5</v>
      </c>
      <c r="S6" s="72">
        <v>0</v>
      </c>
      <c r="T6" s="73">
        <v>0.81250000000000011</v>
      </c>
      <c r="U6" s="73">
        <v>0.85000000000000009</v>
      </c>
    </row>
    <row r="7" spans="1:21" x14ac:dyDescent="0.45">
      <c r="A7" s="69">
        <v>8129</v>
      </c>
      <c r="B7" s="69" t="s">
        <v>151</v>
      </c>
      <c r="C7" s="69" t="s">
        <v>1003</v>
      </c>
      <c r="D7" s="69" t="s">
        <v>1104</v>
      </c>
      <c r="E7" s="71" t="s">
        <v>1007</v>
      </c>
      <c r="F7" s="74" t="s">
        <v>1125</v>
      </c>
      <c r="G7" s="71" t="s">
        <v>985</v>
      </c>
      <c r="H7" s="71" t="s">
        <v>1114</v>
      </c>
      <c r="I7" s="71"/>
      <c r="J7" s="74"/>
      <c r="K7" s="71"/>
      <c r="L7" s="71"/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3">
        <v>0</v>
      </c>
      <c r="U7" s="73">
        <v>0</v>
      </c>
    </row>
    <row r="8" spans="1:21" x14ac:dyDescent="0.45">
      <c r="A8" s="69">
        <v>8109</v>
      </c>
      <c r="B8" s="69" t="s">
        <v>151</v>
      </c>
      <c r="C8" s="69" t="s">
        <v>1008</v>
      </c>
      <c r="D8" s="69" t="s">
        <v>1104</v>
      </c>
      <c r="E8" s="71"/>
      <c r="F8" s="74"/>
      <c r="G8" s="71"/>
      <c r="H8" s="71"/>
      <c r="I8" s="71"/>
      <c r="J8" s="74"/>
      <c r="K8" s="71"/>
      <c r="L8" s="71"/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3">
        <v>0</v>
      </c>
      <c r="U8" s="73">
        <v>0</v>
      </c>
    </row>
    <row r="9" spans="1:21" x14ac:dyDescent="0.45">
      <c r="A9" s="69">
        <v>7894</v>
      </c>
      <c r="B9" s="69" t="s">
        <v>151</v>
      </c>
      <c r="C9" s="69" t="s">
        <v>1011</v>
      </c>
      <c r="D9" s="69" t="s">
        <v>1104</v>
      </c>
      <c r="E9" s="71" t="s">
        <v>1062</v>
      </c>
      <c r="F9" s="74" t="s">
        <v>1126</v>
      </c>
      <c r="G9" s="71" t="s">
        <v>1083</v>
      </c>
      <c r="H9" s="71" t="s">
        <v>1117</v>
      </c>
      <c r="I9" s="71" t="s">
        <v>1062</v>
      </c>
      <c r="J9" s="74" t="s">
        <v>1126</v>
      </c>
      <c r="K9" s="71"/>
      <c r="L9" s="71"/>
      <c r="M9" s="72">
        <v>1</v>
      </c>
      <c r="N9" s="72">
        <v>1</v>
      </c>
      <c r="O9" s="72">
        <v>1</v>
      </c>
      <c r="P9" s="72">
        <v>1</v>
      </c>
      <c r="Q9" s="72">
        <v>1</v>
      </c>
      <c r="R9" s="72">
        <v>0.8</v>
      </c>
      <c r="S9" s="72">
        <v>0.2</v>
      </c>
      <c r="T9" s="73">
        <v>0.875</v>
      </c>
      <c r="U9" s="73">
        <v>0.90000000000000013</v>
      </c>
    </row>
    <row r="10" spans="1:21" x14ac:dyDescent="0.45">
      <c r="A10" s="69">
        <v>7893</v>
      </c>
      <c r="B10" s="69" t="s">
        <v>151</v>
      </c>
      <c r="C10" s="69" t="s">
        <v>1012</v>
      </c>
      <c r="D10" s="69" t="s">
        <v>1104</v>
      </c>
      <c r="E10" s="71" t="s">
        <v>985</v>
      </c>
      <c r="F10" s="74" t="s">
        <v>1114</v>
      </c>
      <c r="G10" s="71" t="s">
        <v>1013</v>
      </c>
      <c r="H10" s="71" t="s">
        <v>1113</v>
      </c>
      <c r="I10" s="71" t="s">
        <v>985</v>
      </c>
      <c r="J10" s="74" t="s">
        <v>1114</v>
      </c>
      <c r="K10" s="71" t="s">
        <v>1081</v>
      </c>
      <c r="L10" s="71" t="s">
        <v>1121</v>
      </c>
      <c r="M10" s="72">
        <v>1</v>
      </c>
      <c r="N10" s="72">
        <v>1</v>
      </c>
      <c r="O10" s="72">
        <v>1</v>
      </c>
      <c r="P10" s="72">
        <v>1</v>
      </c>
      <c r="Q10" s="72">
        <v>1</v>
      </c>
      <c r="R10" s="72">
        <v>1</v>
      </c>
      <c r="S10" s="72">
        <v>1</v>
      </c>
      <c r="T10" s="73">
        <v>1</v>
      </c>
      <c r="U10" s="73">
        <v>1</v>
      </c>
    </row>
    <row r="11" spans="1:21" x14ac:dyDescent="0.45">
      <c r="A11" s="69">
        <v>7892</v>
      </c>
      <c r="B11" s="69" t="s">
        <v>151</v>
      </c>
      <c r="C11" s="69" t="s">
        <v>1014</v>
      </c>
      <c r="D11" s="69" t="s">
        <v>1104</v>
      </c>
      <c r="E11" s="71" t="s">
        <v>985</v>
      </c>
      <c r="F11" s="74" t="s">
        <v>1114</v>
      </c>
      <c r="G11" s="71" t="s">
        <v>1015</v>
      </c>
      <c r="H11" s="71" t="s">
        <v>1118</v>
      </c>
      <c r="I11" s="71" t="s">
        <v>985</v>
      </c>
      <c r="J11" s="74" t="s">
        <v>1114</v>
      </c>
      <c r="K11" s="71" t="s">
        <v>1081</v>
      </c>
      <c r="L11" s="71" t="s">
        <v>1121</v>
      </c>
      <c r="M11" s="72">
        <v>1</v>
      </c>
      <c r="N11" s="72">
        <v>1</v>
      </c>
      <c r="O11" s="72">
        <v>1</v>
      </c>
      <c r="P11" s="72">
        <v>1</v>
      </c>
      <c r="Q11" s="72">
        <v>1</v>
      </c>
      <c r="R11" s="72">
        <v>1</v>
      </c>
      <c r="S11" s="72">
        <v>1</v>
      </c>
      <c r="T11" s="73">
        <v>1</v>
      </c>
      <c r="U11" s="73">
        <v>1</v>
      </c>
    </row>
    <row r="12" spans="1:21" x14ac:dyDescent="0.45">
      <c r="A12" s="69">
        <v>7891</v>
      </c>
      <c r="B12" s="69" t="s">
        <v>151</v>
      </c>
      <c r="C12" s="69" t="s">
        <v>1016</v>
      </c>
      <c r="D12" s="69" t="s">
        <v>1104</v>
      </c>
      <c r="E12" s="71" t="s">
        <v>952</v>
      </c>
      <c r="F12" s="74" t="s">
        <v>1127</v>
      </c>
      <c r="G12" s="71" t="s">
        <v>1015</v>
      </c>
      <c r="H12" s="71" t="s">
        <v>1118</v>
      </c>
      <c r="I12" s="71" t="s">
        <v>952</v>
      </c>
      <c r="J12" s="74" t="s">
        <v>1127</v>
      </c>
      <c r="K12" s="71" t="s">
        <v>1081</v>
      </c>
      <c r="L12" s="71" t="s">
        <v>1121</v>
      </c>
      <c r="M12" s="72">
        <v>1</v>
      </c>
      <c r="N12" s="72">
        <v>1</v>
      </c>
      <c r="O12" s="72">
        <v>1</v>
      </c>
      <c r="P12" s="72">
        <v>1</v>
      </c>
      <c r="Q12" s="72">
        <v>1</v>
      </c>
      <c r="R12" s="72">
        <v>1</v>
      </c>
      <c r="S12" s="72">
        <v>1</v>
      </c>
      <c r="T12" s="73">
        <v>1</v>
      </c>
      <c r="U12" s="73">
        <v>1</v>
      </c>
    </row>
  </sheetData>
  <mergeCells count="12">
    <mergeCell ref="H1:H2"/>
    <mergeCell ref="J1:J2"/>
    <mergeCell ref="L1:L2"/>
    <mergeCell ref="G1:G2"/>
    <mergeCell ref="I1:I2"/>
    <mergeCell ref="K1:K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249977111117893"/>
  </sheetPr>
  <dimension ref="A1:AL106"/>
  <sheetViews>
    <sheetView view="pageBreakPreview" zoomScale="40" zoomScaleNormal="55" zoomScaleSheetLayoutView="40" zoomScalePageLayoutView="40" workbookViewId="0">
      <selection activeCell="W12" sqref="W12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25" width="10.3984375" style="22" customWidth="1"/>
    <col min="26" max="27" width="10.3984375" style="22" hidden="1" customWidth="1"/>
    <col min="28" max="28" width="10.3984375" style="22" customWidth="1"/>
    <col min="29" max="30" width="12.265625" style="22" customWidth="1"/>
    <col min="31" max="16384" width="9.1328125" style="22"/>
  </cols>
  <sheetData>
    <row r="1" spans="1:38" ht="16.149999999999999" thickBot="1" x14ac:dyDescent="0.5"/>
    <row r="2" spans="1:38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38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38" customFormat="1" ht="19.7" customHeight="1" thickBot="1" x14ac:dyDescent="0.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38" customFormat="1" ht="19.7" customHeight="1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S5" s="105" t="s">
        <v>173</v>
      </c>
      <c r="T5" s="107" t="s">
        <v>147</v>
      </c>
      <c r="U5" s="107" t="s">
        <v>155</v>
      </c>
      <c r="V5" s="107" t="s">
        <v>156</v>
      </c>
      <c r="W5" s="107" t="s">
        <v>157</v>
      </c>
      <c r="X5" s="107" t="s">
        <v>158</v>
      </c>
      <c r="Y5" s="107" t="s">
        <v>159</v>
      </c>
      <c r="Z5" s="7"/>
      <c r="AA5" s="7"/>
      <c r="AB5" s="103" t="s">
        <v>160</v>
      </c>
      <c r="AC5" s="14"/>
      <c r="AL5" s="6"/>
    </row>
    <row r="6" spans="1:38" customFormat="1" ht="22.5" customHeight="1" thickBot="1" x14ac:dyDescent="0.5">
      <c r="A6" s="32" t="s">
        <v>152</v>
      </c>
      <c r="B6" s="131"/>
      <c r="C6" s="131"/>
      <c r="D6" s="34"/>
      <c r="E6" s="101" t="s">
        <v>987</v>
      </c>
      <c r="F6" s="101"/>
      <c r="G6" s="101"/>
      <c r="H6" s="75" t="s">
        <v>921</v>
      </c>
      <c r="I6" s="75"/>
      <c r="J6" s="75"/>
      <c r="K6" s="75">
        <f>COUNTIF(B18:B69,"On time")</f>
        <v>0</v>
      </c>
      <c r="L6" s="75"/>
      <c r="M6" s="75"/>
      <c r="N6" s="120">
        <f>COUNTIF(B33:B69,"Inprogress")</f>
        <v>37</v>
      </c>
      <c r="O6" s="121"/>
      <c r="P6" s="122"/>
      <c r="Q6" s="109" t="s">
        <v>1047</v>
      </c>
      <c r="R6" s="109"/>
      <c r="S6" s="106"/>
      <c r="T6" s="108"/>
      <c r="U6" s="108"/>
      <c r="V6" s="108"/>
      <c r="W6" s="108"/>
      <c r="X6" s="108"/>
      <c r="Y6" s="108"/>
      <c r="AB6" s="104"/>
      <c r="AC6" s="15"/>
    </row>
    <row r="7" spans="1:38" customFormat="1" ht="24.75" customHeight="1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  <c r="S7" s="16">
        <v>0</v>
      </c>
      <c r="T7" s="10">
        <v>0.05</v>
      </c>
      <c r="U7" s="10">
        <v>0.1</v>
      </c>
      <c r="V7" s="10">
        <v>0.15</v>
      </c>
      <c r="W7" s="10">
        <v>0.11</v>
      </c>
      <c r="X7" s="10">
        <v>0.2</v>
      </c>
      <c r="Y7" s="10">
        <v>0.24</v>
      </c>
      <c r="Z7" s="10">
        <v>0</v>
      </c>
      <c r="AA7" s="10">
        <v>0</v>
      </c>
      <c r="AB7" s="11">
        <v>0.15</v>
      </c>
      <c r="AC7" s="8" t="s">
        <v>171</v>
      </c>
    </row>
    <row r="8" spans="1:38" customFormat="1" ht="37.700000000000003" customHeight="1" thickBot="1" x14ac:dyDescent="0.5">
      <c r="A8" s="78" t="s">
        <v>956</v>
      </c>
      <c r="B8" s="78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  <c r="S8" s="17">
        <v>0.15</v>
      </c>
      <c r="T8" s="12">
        <v>0.05</v>
      </c>
      <c r="U8" s="12">
        <v>0.1</v>
      </c>
      <c r="V8" s="12">
        <v>0.15</v>
      </c>
      <c r="W8" s="12">
        <v>0.1</v>
      </c>
      <c r="X8" s="12">
        <v>0.15</v>
      </c>
      <c r="Y8" s="12">
        <v>0.15</v>
      </c>
      <c r="Z8" s="12">
        <v>0</v>
      </c>
      <c r="AA8" s="12">
        <v>0</v>
      </c>
      <c r="AB8" s="13">
        <v>0.15</v>
      </c>
      <c r="AC8" s="9" t="s">
        <v>172</v>
      </c>
    </row>
    <row r="9" spans="1:38" customFormat="1" ht="26.25" customHeight="1" thickBot="1" x14ac:dyDescent="0.5">
      <c r="A9" s="78"/>
      <c r="B9" s="78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  <c r="S9" s="2"/>
      <c r="T9" s="2"/>
      <c r="U9" s="2">
        <v>0.2</v>
      </c>
      <c r="V9" s="2">
        <v>0.3</v>
      </c>
      <c r="W9" s="2"/>
      <c r="X9" s="2"/>
      <c r="AB9" s="13">
        <v>0.5</v>
      </c>
      <c r="AC9" t="s">
        <v>919</v>
      </c>
    </row>
    <row r="10" spans="1:38" customFormat="1" ht="36.4" customHeight="1" x14ac:dyDescent="0.45">
      <c r="A10" s="78"/>
      <c r="B10" s="78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  <c r="T10" s="3"/>
      <c r="U10" s="3"/>
      <c r="V10" s="3"/>
      <c r="W10" s="3"/>
    </row>
    <row r="11" spans="1:38" customFormat="1" ht="40.5" customHeight="1" x14ac:dyDescent="0.45">
      <c r="A11" s="78"/>
      <c r="B11" s="78"/>
      <c r="C11" s="84"/>
      <c r="D11" s="84"/>
      <c r="E11" s="86"/>
      <c r="F11" s="86"/>
      <c r="G11" s="86"/>
      <c r="H11" s="86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59">
        <f>AVERAGE(Q18:Q69)</f>
        <v>0</v>
      </c>
      <c r="R11" s="60">
        <f>AVERAGE(R18:R69)</f>
        <v>5.7142857142857143E-3</v>
      </c>
      <c r="T11" s="3"/>
      <c r="U11" s="3"/>
      <c r="V11" s="3"/>
      <c r="W11" s="3"/>
    </row>
    <row r="12" spans="1:38" customFormat="1" ht="65.099999999999994" customHeight="1" x14ac:dyDescent="0.45">
      <c r="A12" s="27">
        <v>8218</v>
      </c>
      <c r="B12" s="28" t="str">
        <f t="shared" ref="B12:B17" si="0">IF(R12=1,"On time","Inprogress")</f>
        <v>On time</v>
      </c>
      <c r="C12" s="43" t="s">
        <v>1061</v>
      </c>
      <c r="D12" s="42" t="s">
        <v>989</v>
      </c>
      <c r="E12" s="45"/>
      <c r="F12" s="45" t="s">
        <v>990</v>
      </c>
      <c r="G12" s="45"/>
      <c r="H12" s="45" t="s">
        <v>954</v>
      </c>
      <c r="I12" s="49"/>
      <c r="J12" s="49">
        <v>1</v>
      </c>
      <c r="K12" s="49">
        <v>1</v>
      </c>
      <c r="L12" s="49">
        <v>1</v>
      </c>
      <c r="M12" s="49">
        <v>1</v>
      </c>
      <c r="N12" s="49">
        <v>1</v>
      </c>
      <c r="O12" s="49">
        <v>1</v>
      </c>
      <c r="P12" s="49">
        <v>1</v>
      </c>
      <c r="Q12" s="50">
        <f t="shared" ref="Q12:Q17" si="1">SUMPRODUCT($K$11:$P$11,K12:P12)/0.8</f>
        <v>1</v>
      </c>
      <c r="R12" s="50">
        <f>SUMPRODUCT($I$11:$P$11,I12:P12)+15%</f>
        <v>1</v>
      </c>
      <c r="S12" s="5"/>
      <c r="T12" s="30"/>
      <c r="W12" s="4"/>
      <c r="X12" s="4"/>
    </row>
    <row r="13" spans="1:38" customFormat="1" ht="65.099999999999994" customHeight="1" x14ac:dyDescent="0.45">
      <c r="A13" s="27">
        <v>7765</v>
      </c>
      <c r="B13" s="28" t="str">
        <f t="shared" si="0"/>
        <v>On time</v>
      </c>
      <c r="C13" s="43" t="s">
        <v>1033</v>
      </c>
      <c r="D13" s="43" t="s">
        <v>989</v>
      </c>
      <c r="E13" s="45"/>
      <c r="F13" s="45" t="s">
        <v>750</v>
      </c>
      <c r="G13" s="45"/>
      <c r="H13" s="45" t="s">
        <v>750</v>
      </c>
      <c r="I13" s="49"/>
      <c r="J13" s="49"/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 t="shared" si="1"/>
        <v>1</v>
      </c>
      <c r="R13" s="50">
        <f>SUMPRODUCT($I$11:$P$11,I13:P13)+20%</f>
        <v>1</v>
      </c>
      <c r="S13" s="5"/>
      <c r="W13" s="4"/>
      <c r="X13" s="4"/>
    </row>
    <row r="14" spans="1:38" customFormat="1" ht="65.099999999999994" customHeight="1" x14ac:dyDescent="0.45">
      <c r="A14" s="27">
        <v>8055</v>
      </c>
      <c r="B14" s="28" t="str">
        <f t="shared" si="0"/>
        <v>On time</v>
      </c>
      <c r="C14" s="43" t="s">
        <v>1038</v>
      </c>
      <c r="D14" s="43" t="s">
        <v>963</v>
      </c>
      <c r="E14" s="45"/>
      <c r="F14" s="45"/>
      <c r="G14" s="45"/>
      <c r="H14" s="45"/>
      <c r="I14" s="49"/>
      <c r="J14" s="49"/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50">
        <f t="shared" si="1"/>
        <v>1</v>
      </c>
      <c r="R14" s="50">
        <f>SUMPRODUCT($I$11:$P$11,I14:P14)+20%</f>
        <v>1</v>
      </c>
      <c r="S14" s="5"/>
      <c r="W14" s="4"/>
      <c r="X14" s="4"/>
    </row>
    <row r="15" spans="1:38" customFormat="1" ht="65.099999999999994" customHeight="1" x14ac:dyDescent="0.45">
      <c r="A15" s="27">
        <v>8167</v>
      </c>
      <c r="B15" s="28" t="str">
        <f t="shared" si="0"/>
        <v>Inprogress</v>
      </c>
      <c r="C15" s="43" t="s">
        <v>995</v>
      </c>
      <c r="D15" s="42" t="s">
        <v>963</v>
      </c>
      <c r="E15" s="45" t="s">
        <v>996</v>
      </c>
      <c r="F15" s="45" t="s">
        <v>997</v>
      </c>
      <c r="G15" s="45" t="s">
        <v>996</v>
      </c>
      <c r="H15" s="45"/>
      <c r="I15" s="49">
        <v>1</v>
      </c>
      <c r="J15" s="49">
        <v>1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50">
        <f t="shared" si="1"/>
        <v>0</v>
      </c>
      <c r="R15" s="50">
        <f>SUMPRODUCT($I$11:$P$11,I15:P15)</f>
        <v>0.2</v>
      </c>
      <c r="S15" s="5"/>
      <c r="W15" s="4"/>
      <c r="X15" s="4"/>
    </row>
    <row r="16" spans="1:38" customFormat="1" ht="65.099999999999994" customHeight="1" x14ac:dyDescent="0.45">
      <c r="A16" s="27">
        <v>8166</v>
      </c>
      <c r="B16" s="28" t="str">
        <f t="shared" si="0"/>
        <v>Inprogress</v>
      </c>
      <c r="C16" s="43" t="s">
        <v>998</v>
      </c>
      <c r="D16" s="42" t="s">
        <v>963</v>
      </c>
      <c r="E16" s="45" t="s">
        <v>996</v>
      </c>
      <c r="F16" s="45" t="s">
        <v>997</v>
      </c>
      <c r="G16" s="45" t="s">
        <v>996</v>
      </c>
      <c r="H16" s="45"/>
      <c r="I16" s="49">
        <v>1</v>
      </c>
      <c r="J16" s="49">
        <v>1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50">
        <f t="shared" si="1"/>
        <v>0</v>
      </c>
      <c r="R16" s="50">
        <f>SUMPRODUCT($I$11:$P$11,I16:P16)</f>
        <v>0.2</v>
      </c>
      <c r="S16" s="5"/>
      <c r="W16" s="4"/>
      <c r="X16" s="4"/>
    </row>
    <row r="17" spans="1:24" customFormat="1" ht="65.099999999999994" customHeight="1" x14ac:dyDescent="0.45">
      <c r="A17" s="27">
        <v>7876</v>
      </c>
      <c r="B17" s="28" t="str">
        <f t="shared" si="0"/>
        <v>Inprogress</v>
      </c>
      <c r="C17" s="43" t="s">
        <v>1048</v>
      </c>
      <c r="D17" s="43" t="s">
        <v>963</v>
      </c>
      <c r="E17" s="45"/>
      <c r="F17" s="45"/>
      <c r="G17" s="45"/>
      <c r="H17" s="45"/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50">
        <f t="shared" si="1"/>
        <v>0</v>
      </c>
      <c r="R17" s="50">
        <f>SUMPRODUCT($I$11:$P$11,I17:P17)</f>
        <v>0</v>
      </c>
      <c r="S17" s="5"/>
      <c r="W17" s="4"/>
      <c r="X17" s="4"/>
    </row>
    <row r="18" spans="1:24" customFormat="1" ht="65.099999999999994" customHeight="1" x14ac:dyDescent="0.45">
      <c r="A18" s="27">
        <v>8340</v>
      </c>
      <c r="B18" s="28" t="str">
        <f t="shared" ref="B18:B40" si="2">IF(R18=1,"On time","Inprogress")</f>
        <v>Inprogress</v>
      </c>
      <c r="C18" s="43" t="s">
        <v>988</v>
      </c>
      <c r="D18" s="61" t="s">
        <v>989</v>
      </c>
      <c r="E18" s="45"/>
      <c r="F18" s="45" t="s">
        <v>1013</v>
      </c>
      <c r="G18" s="45"/>
      <c r="H18" s="45"/>
      <c r="I18" s="49"/>
      <c r="J18" s="49"/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50">
        <f t="shared" ref="Q18:Q36" si="3">SUMPRODUCT($K$11:$P$11,K18:P18)/0.8</f>
        <v>0</v>
      </c>
      <c r="R18" s="50">
        <f t="shared" ref="R18:R36" si="4">SUMPRODUCT($I$11:$P$11,I18:P18)</f>
        <v>0</v>
      </c>
      <c r="S18" s="5"/>
      <c r="W18" s="4"/>
      <c r="X18" s="4"/>
    </row>
    <row r="19" spans="1:24" customFormat="1" ht="65.099999999999994" customHeight="1" x14ac:dyDescent="0.45">
      <c r="A19" s="27">
        <v>8171</v>
      </c>
      <c r="B19" s="28" t="str">
        <f t="shared" si="2"/>
        <v>Inprogress</v>
      </c>
      <c r="C19" s="43" t="s">
        <v>991</v>
      </c>
      <c r="D19" s="42" t="s">
        <v>963</v>
      </c>
      <c r="E19" s="45"/>
      <c r="F19" s="45"/>
      <c r="G19" s="45"/>
      <c r="H19" s="45"/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50">
        <f t="shared" si="3"/>
        <v>0</v>
      </c>
      <c r="R19" s="50">
        <f t="shared" si="4"/>
        <v>0</v>
      </c>
      <c r="S19" s="5"/>
      <c r="W19" s="4"/>
      <c r="X19" s="4"/>
    </row>
    <row r="20" spans="1:24" customFormat="1" ht="64.5" customHeight="1" x14ac:dyDescent="0.45">
      <c r="A20" s="27">
        <v>8170</v>
      </c>
      <c r="B20" s="28" t="str">
        <f t="shared" si="2"/>
        <v>Inprogress</v>
      </c>
      <c r="C20" s="43" t="s">
        <v>992</v>
      </c>
      <c r="D20" s="42" t="s">
        <v>963</v>
      </c>
      <c r="E20" s="45"/>
      <c r="F20" s="45"/>
      <c r="G20" s="45"/>
      <c r="H20" s="45"/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50">
        <f t="shared" si="3"/>
        <v>0</v>
      </c>
      <c r="R20" s="50">
        <f t="shared" si="4"/>
        <v>0</v>
      </c>
      <c r="W20" s="4"/>
      <c r="X20" s="4"/>
    </row>
    <row r="21" spans="1:24" customFormat="1" ht="65.099999999999994" customHeight="1" x14ac:dyDescent="0.45">
      <c r="A21" s="27">
        <v>8169</v>
      </c>
      <c r="B21" s="28" t="str">
        <f t="shared" si="2"/>
        <v>Inprogress</v>
      </c>
      <c r="C21" s="43" t="s">
        <v>993</v>
      </c>
      <c r="D21" s="42" t="s">
        <v>963</v>
      </c>
      <c r="E21" s="45"/>
      <c r="F21" s="45"/>
      <c r="G21" s="45"/>
      <c r="H21" s="45"/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50">
        <f t="shared" si="3"/>
        <v>0</v>
      </c>
      <c r="R21" s="50">
        <f t="shared" si="4"/>
        <v>0</v>
      </c>
      <c r="S21" s="5"/>
      <c r="W21" s="4"/>
      <c r="X21" s="4"/>
    </row>
    <row r="22" spans="1:24" s="30" customFormat="1" ht="65.099999999999994" customHeight="1" x14ac:dyDescent="0.45">
      <c r="A22" s="27">
        <v>8168</v>
      </c>
      <c r="B22" s="28" t="str">
        <f t="shared" si="2"/>
        <v>Inprogress</v>
      </c>
      <c r="C22" s="43" t="s">
        <v>994</v>
      </c>
      <c r="D22" s="42" t="s">
        <v>963</v>
      </c>
      <c r="E22" s="45"/>
      <c r="F22" s="45"/>
      <c r="G22" s="45"/>
      <c r="H22" s="45"/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50">
        <f t="shared" si="3"/>
        <v>0</v>
      </c>
      <c r="R22" s="50">
        <f t="shared" si="4"/>
        <v>0</v>
      </c>
      <c r="S22" s="29"/>
      <c r="W22" s="31"/>
      <c r="X22" s="31"/>
    </row>
    <row r="23" spans="1:24" customFormat="1" ht="65.099999999999994" customHeight="1" x14ac:dyDescent="0.45">
      <c r="A23" s="27">
        <v>8165</v>
      </c>
      <c r="B23" s="28" t="str">
        <f t="shared" ref="B23:B32" si="5">IF(R23=1,"On time","Inprogress")</f>
        <v>Inprogress</v>
      </c>
      <c r="C23" s="43" t="s">
        <v>1005</v>
      </c>
      <c r="D23" s="42" t="s">
        <v>963</v>
      </c>
      <c r="E23" s="45"/>
      <c r="F23" s="45"/>
      <c r="G23" s="45"/>
      <c r="H23" s="45"/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50">
        <f>SUMPRODUCT($K$11:$P$11,K23:P23)/0.8</f>
        <v>0</v>
      </c>
      <c r="R23" s="50">
        <f t="shared" ref="R23:R35" si="6">SUMPRODUCT($I$11:$P$11,I23:P23)</f>
        <v>0</v>
      </c>
      <c r="S23" s="5"/>
      <c r="W23" s="4"/>
      <c r="X23" s="4"/>
    </row>
    <row r="24" spans="1:24" customFormat="1" ht="65.099999999999994" customHeight="1" x14ac:dyDescent="0.45">
      <c r="A24" s="27">
        <v>8164</v>
      </c>
      <c r="B24" s="28" t="str">
        <f t="shared" si="5"/>
        <v>Inprogress</v>
      </c>
      <c r="C24" s="43" t="s">
        <v>1006</v>
      </c>
      <c r="D24" s="42" t="s">
        <v>963</v>
      </c>
      <c r="E24" s="45"/>
      <c r="F24" s="45"/>
      <c r="G24" s="45"/>
      <c r="H24" s="45"/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50">
        <f t="shared" ref="Q24" si="7">SUMPRODUCT($K$11:$P$11,K24:P24)/0.8</f>
        <v>0</v>
      </c>
      <c r="R24" s="50">
        <f t="shared" si="6"/>
        <v>0</v>
      </c>
      <c r="S24" s="5"/>
      <c r="W24" s="4"/>
      <c r="X24" s="4"/>
    </row>
    <row r="25" spans="1:24" customFormat="1" ht="65.099999999999994" customHeight="1" x14ac:dyDescent="0.45">
      <c r="A25" s="27">
        <v>8142</v>
      </c>
      <c r="B25" s="28" t="str">
        <f t="shared" si="5"/>
        <v>Inprogress</v>
      </c>
      <c r="C25" s="43" t="s">
        <v>999</v>
      </c>
      <c r="D25" s="42" t="s">
        <v>963</v>
      </c>
      <c r="E25" s="45"/>
      <c r="F25" s="45"/>
      <c r="G25" s="45"/>
      <c r="H25" s="45"/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50">
        <f t="shared" ref="Q25:Q29" si="8">SUMPRODUCT($K$11:$P$11,K25:P25)/0.8</f>
        <v>0</v>
      </c>
      <c r="R25" s="50">
        <f t="shared" si="6"/>
        <v>0</v>
      </c>
      <c r="S25" s="5"/>
      <c r="W25" s="4"/>
      <c r="X25" s="4"/>
    </row>
    <row r="26" spans="1:24" customFormat="1" ht="65.099999999999994" customHeight="1" x14ac:dyDescent="0.45">
      <c r="A26" s="27">
        <v>8141</v>
      </c>
      <c r="B26" s="28" t="str">
        <f t="shared" si="5"/>
        <v>Inprogress</v>
      </c>
      <c r="C26" s="43" t="s">
        <v>1000</v>
      </c>
      <c r="D26" s="43" t="s">
        <v>989</v>
      </c>
      <c r="E26" s="45"/>
      <c r="F26" s="45"/>
      <c r="G26" s="45"/>
      <c r="H26" s="45"/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50">
        <f t="shared" si="8"/>
        <v>0</v>
      </c>
      <c r="R26" s="50">
        <f t="shared" si="6"/>
        <v>0</v>
      </c>
      <c r="S26" s="5"/>
      <c r="W26" s="4"/>
      <c r="X26" s="4"/>
    </row>
    <row r="27" spans="1:24" customFormat="1" ht="65.099999999999994" customHeight="1" x14ac:dyDescent="0.45">
      <c r="A27" s="27">
        <v>8140</v>
      </c>
      <c r="B27" s="28" t="str">
        <f t="shared" si="5"/>
        <v>Inprogress</v>
      </c>
      <c r="C27" s="43" t="s">
        <v>1001</v>
      </c>
      <c r="D27" s="42" t="s">
        <v>963</v>
      </c>
      <c r="E27" s="45"/>
      <c r="F27" s="45"/>
      <c r="G27" s="45"/>
      <c r="H27" s="45"/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50">
        <f t="shared" si="8"/>
        <v>0</v>
      </c>
      <c r="R27" s="50">
        <f t="shared" si="6"/>
        <v>0</v>
      </c>
      <c r="S27" s="5"/>
      <c r="W27" s="4"/>
      <c r="X27" s="4"/>
    </row>
    <row r="28" spans="1:24" customFormat="1" ht="64.5" customHeight="1" x14ac:dyDescent="0.45">
      <c r="A28" s="27">
        <v>8139</v>
      </c>
      <c r="B28" s="28" t="str">
        <f t="shared" si="5"/>
        <v>Inprogress</v>
      </c>
      <c r="C28" s="43" t="s">
        <v>1002</v>
      </c>
      <c r="D28" s="42" t="s">
        <v>963</v>
      </c>
      <c r="E28" s="45"/>
      <c r="F28" s="45"/>
      <c r="G28" s="45"/>
      <c r="H28" s="45"/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50">
        <f t="shared" si="8"/>
        <v>0</v>
      </c>
      <c r="R28" s="50">
        <f t="shared" si="6"/>
        <v>0</v>
      </c>
      <c r="S28" s="5"/>
      <c r="W28" s="4"/>
      <c r="X28" s="4"/>
    </row>
    <row r="29" spans="1:24" customFormat="1" ht="65.099999999999994" customHeight="1" x14ac:dyDescent="0.45">
      <c r="A29" s="27">
        <v>8137</v>
      </c>
      <c r="B29" s="28" t="str">
        <f t="shared" si="5"/>
        <v>Inprogress</v>
      </c>
      <c r="C29" s="43" t="s">
        <v>1004</v>
      </c>
      <c r="D29" s="42" t="s">
        <v>963</v>
      </c>
      <c r="E29" s="45"/>
      <c r="F29" s="45"/>
      <c r="G29" s="45"/>
      <c r="H29" s="45"/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50">
        <f t="shared" si="8"/>
        <v>0</v>
      </c>
      <c r="R29" s="50">
        <f t="shared" si="6"/>
        <v>0</v>
      </c>
      <c r="S29" s="5"/>
      <c r="W29" s="4"/>
      <c r="X29" s="4"/>
    </row>
    <row r="30" spans="1:24" customFormat="1" ht="65.099999999999994" customHeight="1" x14ac:dyDescent="0.45">
      <c r="A30" s="27">
        <v>7867</v>
      </c>
      <c r="B30" s="28" t="str">
        <f t="shared" si="5"/>
        <v>Inprogress</v>
      </c>
      <c r="C30" s="43" t="s">
        <v>1017</v>
      </c>
      <c r="D30" s="42" t="s">
        <v>963</v>
      </c>
      <c r="E30" s="45"/>
      <c r="F30" s="45"/>
      <c r="G30" s="45"/>
      <c r="H30" s="45"/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50">
        <f t="shared" ref="Q30" si="9">SUMPRODUCT($K$11:$P$11,K30:P30)/0.8</f>
        <v>0</v>
      </c>
      <c r="R30" s="50">
        <f t="shared" si="6"/>
        <v>0</v>
      </c>
      <c r="S30" s="5"/>
      <c r="W30" s="4"/>
      <c r="X30" s="4"/>
    </row>
    <row r="31" spans="1:24" customFormat="1" ht="65.099999999999994" customHeight="1" x14ac:dyDescent="0.45">
      <c r="A31" s="27">
        <v>7866</v>
      </c>
      <c r="B31" s="28" t="str">
        <f t="shared" si="5"/>
        <v>Inprogress</v>
      </c>
      <c r="C31" s="43" t="s">
        <v>1018</v>
      </c>
      <c r="D31" s="42" t="s">
        <v>963</v>
      </c>
      <c r="E31" s="45"/>
      <c r="F31" s="45"/>
      <c r="G31" s="45"/>
      <c r="H31" s="45"/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50">
        <f>SUMPRODUCT($K$11:$P$11,K31:P31)/0.8</f>
        <v>0</v>
      </c>
      <c r="R31" s="50">
        <f t="shared" si="6"/>
        <v>0</v>
      </c>
      <c r="S31" s="5"/>
      <c r="W31" s="4"/>
      <c r="X31" s="4"/>
    </row>
    <row r="32" spans="1:24" customFormat="1" ht="59.65" customHeight="1" x14ac:dyDescent="0.45">
      <c r="A32" s="27">
        <v>7865</v>
      </c>
      <c r="B32" s="28" t="str">
        <f t="shared" si="5"/>
        <v>Inprogress</v>
      </c>
      <c r="C32" s="43" t="s">
        <v>1019</v>
      </c>
      <c r="D32" s="42" t="s">
        <v>963</v>
      </c>
      <c r="E32" s="45"/>
      <c r="F32" s="45"/>
      <c r="G32" s="45"/>
      <c r="H32" s="45"/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50">
        <f>SUMPRODUCT($K$11:$P$11,K32:P32)/0.8</f>
        <v>0</v>
      </c>
      <c r="R32" s="50">
        <f t="shared" si="6"/>
        <v>0</v>
      </c>
      <c r="S32" s="5"/>
      <c r="W32" s="4"/>
      <c r="X32" s="4"/>
    </row>
    <row r="33" spans="1:24" customFormat="1" ht="64.5" customHeight="1" x14ac:dyDescent="0.45">
      <c r="A33" s="27">
        <v>7864</v>
      </c>
      <c r="B33" s="28" t="str">
        <f t="shared" ref="B33:B34" si="10">IF(R33=1,"On time","Inprogress")</f>
        <v>Inprogress</v>
      </c>
      <c r="C33" s="43" t="s">
        <v>1020</v>
      </c>
      <c r="D33" s="42" t="s">
        <v>963</v>
      </c>
      <c r="E33" s="45"/>
      <c r="F33" s="45"/>
      <c r="G33" s="45"/>
      <c r="H33" s="45"/>
      <c r="I33" s="49">
        <v>0</v>
      </c>
      <c r="J33" s="49">
        <v>0</v>
      </c>
      <c r="K33" s="49">
        <v>0</v>
      </c>
      <c r="L33" s="49">
        <v>0</v>
      </c>
      <c r="M33" s="49">
        <v>0</v>
      </c>
      <c r="N33" s="49">
        <v>0</v>
      </c>
      <c r="O33" s="49">
        <v>0</v>
      </c>
      <c r="P33" s="49">
        <v>0</v>
      </c>
      <c r="Q33" s="50">
        <f>SUMPRODUCT($K$11:$P$11,K33:P33)/0.8</f>
        <v>0</v>
      </c>
      <c r="R33" s="50">
        <f t="shared" si="6"/>
        <v>0</v>
      </c>
      <c r="S33" s="5"/>
      <c r="W33" s="4"/>
      <c r="X33" s="4"/>
    </row>
    <row r="34" spans="1:24" customFormat="1" ht="65.099999999999994" customHeight="1" x14ac:dyDescent="0.45">
      <c r="A34" s="27">
        <v>7862</v>
      </c>
      <c r="B34" s="28" t="str">
        <f t="shared" si="10"/>
        <v>Inprogress</v>
      </c>
      <c r="C34" s="43" t="s">
        <v>1021</v>
      </c>
      <c r="D34" s="42" t="s">
        <v>963</v>
      </c>
      <c r="E34" s="45" t="s">
        <v>996</v>
      </c>
      <c r="F34" s="45" t="s">
        <v>997</v>
      </c>
      <c r="G34" s="45" t="s">
        <v>996</v>
      </c>
      <c r="H34" s="45"/>
      <c r="I34" s="49">
        <v>1</v>
      </c>
      <c r="J34" s="49">
        <v>1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50">
        <f>SUMPRODUCT($K$11:$P$11,K34:P34)/0.8</f>
        <v>0</v>
      </c>
      <c r="R34" s="50">
        <f t="shared" si="6"/>
        <v>0.2</v>
      </c>
      <c r="W34" s="4"/>
      <c r="X34" s="4"/>
    </row>
    <row r="35" spans="1:24" customFormat="1" ht="65.099999999999994" customHeight="1" x14ac:dyDescent="0.45">
      <c r="A35" s="27">
        <v>7860</v>
      </c>
      <c r="B35" s="28" t="str">
        <f t="shared" ref="B35" si="11">IF(R35=1,"On time","Inprogress")</f>
        <v>Inprogress</v>
      </c>
      <c r="C35" s="43" t="s">
        <v>1022</v>
      </c>
      <c r="D35" s="43" t="s">
        <v>963</v>
      </c>
      <c r="E35" s="45"/>
      <c r="F35" s="45"/>
      <c r="G35" s="45"/>
      <c r="H35" s="45"/>
      <c r="I35" s="49">
        <v>0</v>
      </c>
      <c r="J35" s="49">
        <v>0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50">
        <f>SUMPRODUCT($K$11:$P$11,K35:P35)/0.8</f>
        <v>0</v>
      </c>
      <c r="R35" s="50">
        <f t="shared" si="6"/>
        <v>0</v>
      </c>
      <c r="S35" s="5"/>
      <c r="W35" s="4"/>
      <c r="X35" s="4"/>
    </row>
    <row r="36" spans="1:24" customFormat="1" ht="65.099999999999994" customHeight="1" x14ac:dyDescent="0.45">
      <c r="A36" s="27">
        <v>7858</v>
      </c>
      <c r="B36" s="28" t="str">
        <f t="shared" si="2"/>
        <v>Inprogress</v>
      </c>
      <c r="C36" s="43" t="s">
        <v>1023</v>
      </c>
      <c r="D36" s="43" t="s">
        <v>963</v>
      </c>
      <c r="E36" s="45"/>
      <c r="F36" s="45"/>
      <c r="G36" s="45"/>
      <c r="H36" s="45"/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50">
        <f t="shared" si="3"/>
        <v>0</v>
      </c>
      <c r="R36" s="50">
        <f t="shared" si="4"/>
        <v>0</v>
      </c>
      <c r="S36" s="5"/>
      <c r="W36" s="4"/>
      <c r="X36" s="4"/>
    </row>
    <row r="37" spans="1:24" customFormat="1" ht="65.099999999999994" customHeight="1" x14ac:dyDescent="0.45">
      <c r="A37" s="27">
        <v>7856</v>
      </c>
      <c r="B37" s="28" t="str">
        <f t="shared" si="2"/>
        <v>Inprogress</v>
      </c>
      <c r="C37" s="43" t="s">
        <v>1024</v>
      </c>
      <c r="D37" s="43" t="s">
        <v>963</v>
      </c>
      <c r="E37" s="45"/>
      <c r="F37" s="45"/>
      <c r="G37" s="45"/>
      <c r="H37" s="45"/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50">
        <f t="shared" ref="Q37:Q41" si="12">SUMPRODUCT($K$11:$P$11,K37:P37)/0.8</f>
        <v>0</v>
      </c>
      <c r="R37" s="50">
        <f t="shared" ref="R37:R41" si="13">SUMPRODUCT($I$11:$P$11,I37:P37)</f>
        <v>0</v>
      </c>
      <c r="S37" s="5"/>
      <c r="W37" s="4"/>
      <c r="X37" s="4"/>
    </row>
    <row r="38" spans="1:24" customFormat="1" ht="65.099999999999994" customHeight="1" x14ac:dyDescent="0.45">
      <c r="A38" s="27">
        <v>7855</v>
      </c>
      <c r="B38" s="28" t="str">
        <f t="shared" si="2"/>
        <v>Inprogress</v>
      </c>
      <c r="C38" s="43" t="s">
        <v>1025</v>
      </c>
      <c r="D38" s="43" t="s">
        <v>963</v>
      </c>
      <c r="E38" s="45"/>
      <c r="F38" s="45"/>
      <c r="G38" s="45"/>
      <c r="H38" s="45"/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50">
        <f t="shared" si="12"/>
        <v>0</v>
      </c>
      <c r="R38" s="50">
        <f t="shared" si="13"/>
        <v>0</v>
      </c>
      <c r="S38" s="5"/>
      <c r="W38" s="4"/>
      <c r="X38" s="4"/>
    </row>
    <row r="39" spans="1:24" customFormat="1" ht="65.099999999999994" customHeight="1" x14ac:dyDescent="0.45">
      <c r="A39" s="27">
        <v>7854</v>
      </c>
      <c r="B39" s="28" t="str">
        <f t="shared" si="2"/>
        <v>Inprogress</v>
      </c>
      <c r="C39" s="43" t="s">
        <v>1026</v>
      </c>
      <c r="D39" s="43" t="s">
        <v>963</v>
      </c>
      <c r="E39" s="45"/>
      <c r="F39" s="45"/>
      <c r="G39" s="45"/>
      <c r="H39" s="45"/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50">
        <f t="shared" si="12"/>
        <v>0</v>
      </c>
      <c r="R39" s="50">
        <f t="shared" si="13"/>
        <v>0</v>
      </c>
      <c r="S39" s="5"/>
      <c r="W39" s="4"/>
      <c r="X39" s="4"/>
    </row>
    <row r="40" spans="1:24" customFormat="1" ht="65.099999999999994" customHeight="1" x14ac:dyDescent="0.45">
      <c r="A40" s="27">
        <v>7853</v>
      </c>
      <c r="B40" s="28" t="str">
        <f t="shared" si="2"/>
        <v>Inprogress</v>
      </c>
      <c r="C40" s="43" t="s">
        <v>1027</v>
      </c>
      <c r="D40" s="43" t="s">
        <v>963</v>
      </c>
      <c r="E40" s="45"/>
      <c r="F40" s="45"/>
      <c r="G40" s="45"/>
      <c r="H40" s="45"/>
      <c r="I40" s="49">
        <v>0</v>
      </c>
      <c r="J40" s="49">
        <v>0</v>
      </c>
      <c r="K40" s="49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50">
        <f t="shared" si="12"/>
        <v>0</v>
      </c>
      <c r="R40" s="50">
        <f t="shared" si="13"/>
        <v>0</v>
      </c>
      <c r="S40" s="5"/>
      <c r="W40" s="4"/>
      <c r="X40" s="4"/>
    </row>
    <row r="41" spans="1:24" customFormat="1" ht="65.099999999999994" customHeight="1" x14ac:dyDescent="0.45">
      <c r="A41" s="27">
        <v>7852</v>
      </c>
      <c r="B41" s="28" t="str">
        <f t="shared" ref="B41:B69" si="14">IF(R41=1,"On time","Inprogress")</f>
        <v>Inprogress</v>
      </c>
      <c r="C41" s="43" t="s">
        <v>1028</v>
      </c>
      <c r="D41" s="43" t="s">
        <v>963</v>
      </c>
      <c r="E41" s="45"/>
      <c r="F41" s="45"/>
      <c r="G41" s="45"/>
      <c r="H41" s="45"/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50">
        <f t="shared" si="12"/>
        <v>0</v>
      </c>
      <c r="R41" s="50">
        <f t="shared" si="13"/>
        <v>0</v>
      </c>
      <c r="S41" s="5"/>
      <c r="W41" s="4"/>
      <c r="X41" s="4"/>
    </row>
    <row r="42" spans="1:24" customFormat="1" ht="65.099999999999994" customHeight="1" x14ac:dyDescent="0.45">
      <c r="A42" s="27">
        <v>7851</v>
      </c>
      <c r="B42" s="28" t="str">
        <f t="shared" si="14"/>
        <v>Inprogress</v>
      </c>
      <c r="C42" s="43" t="s">
        <v>1029</v>
      </c>
      <c r="D42" s="43" t="s">
        <v>989</v>
      </c>
      <c r="E42" s="45"/>
      <c r="F42" s="45"/>
      <c r="G42" s="45"/>
      <c r="H42" s="45"/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50">
        <f t="shared" ref="Q42:Q69" si="15">SUMPRODUCT($K$11:$P$11,K42:P42)/0.8</f>
        <v>0</v>
      </c>
      <c r="R42" s="50">
        <f t="shared" ref="R42:R69" si="16">SUMPRODUCT($I$11:$P$11,I42:P42)</f>
        <v>0</v>
      </c>
      <c r="S42" s="5"/>
      <c r="W42" s="4"/>
      <c r="X42" s="4"/>
    </row>
    <row r="43" spans="1:24" customFormat="1" ht="65.099999999999994" customHeight="1" x14ac:dyDescent="0.45">
      <c r="A43" s="27">
        <v>7850</v>
      </c>
      <c r="B43" s="28" t="str">
        <f t="shared" si="14"/>
        <v>Inprogress</v>
      </c>
      <c r="C43" s="43" t="s">
        <v>1030</v>
      </c>
      <c r="D43" s="43" t="s">
        <v>963</v>
      </c>
      <c r="E43" s="45"/>
      <c r="F43" s="45"/>
      <c r="G43" s="45"/>
      <c r="H43" s="45"/>
      <c r="I43" s="49">
        <v>0</v>
      </c>
      <c r="J43" s="49">
        <v>0</v>
      </c>
      <c r="K43" s="49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50">
        <f t="shared" si="15"/>
        <v>0</v>
      </c>
      <c r="R43" s="50">
        <f t="shared" si="16"/>
        <v>0</v>
      </c>
      <c r="S43" s="5"/>
      <c r="W43" s="4"/>
      <c r="X43" s="4"/>
    </row>
    <row r="44" spans="1:24" customFormat="1" ht="65.099999999999994" customHeight="1" x14ac:dyDescent="0.45">
      <c r="A44" s="27">
        <v>7848</v>
      </c>
      <c r="B44" s="28" t="str">
        <f t="shared" si="14"/>
        <v>Inprogress</v>
      </c>
      <c r="C44" s="43" t="s">
        <v>1030</v>
      </c>
      <c r="D44" s="43" t="s">
        <v>963</v>
      </c>
      <c r="E44" s="45"/>
      <c r="F44" s="45"/>
      <c r="G44" s="45"/>
      <c r="H44" s="45"/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50">
        <f t="shared" si="15"/>
        <v>0</v>
      </c>
      <c r="R44" s="50">
        <f t="shared" si="16"/>
        <v>0</v>
      </c>
      <c r="S44" s="5"/>
      <c r="W44" s="4"/>
      <c r="X44" s="4"/>
    </row>
    <row r="45" spans="1:24" customFormat="1" ht="65.099999999999994" customHeight="1" x14ac:dyDescent="0.45">
      <c r="A45" s="27">
        <v>7847</v>
      </c>
      <c r="B45" s="28" t="str">
        <f t="shared" si="14"/>
        <v>Inprogress</v>
      </c>
      <c r="C45" s="43" t="s">
        <v>1031</v>
      </c>
      <c r="D45" s="43" t="s">
        <v>963</v>
      </c>
      <c r="E45" s="45"/>
      <c r="F45" s="45"/>
      <c r="G45" s="45"/>
      <c r="H45" s="45"/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50">
        <f t="shared" si="15"/>
        <v>0</v>
      </c>
      <c r="R45" s="50">
        <f t="shared" si="16"/>
        <v>0</v>
      </c>
      <c r="S45" s="5"/>
      <c r="W45" s="4"/>
      <c r="X45" s="4"/>
    </row>
    <row r="46" spans="1:24" customFormat="1" ht="65.099999999999994" customHeight="1" x14ac:dyDescent="0.45">
      <c r="A46" s="27">
        <v>7846</v>
      </c>
      <c r="B46" s="28" t="str">
        <f t="shared" si="14"/>
        <v>Inprogress</v>
      </c>
      <c r="C46" s="43" t="s">
        <v>1032</v>
      </c>
      <c r="D46" s="43" t="s">
        <v>963</v>
      </c>
      <c r="E46" s="45"/>
      <c r="F46" s="45"/>
      <c r="G46" s="45"/>
      <c r="H46" s="45"/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50">
        <f t="shared" si="15"/>
        <v>0</v>
      </c>
      <c r="R46" s="50">
        <f t="shared" si="16"/>
        <v>0</v>
      </c>
      <c r="S46" s="5"/>
      <c r="W46" s="4"/>
      <c r="X46" s="4"/>
    </row>
    <row r="47" spans="1:24" customFormat="1" ht="65.099999999999994" customHeight="1" x14ac:dyDescent="0.45">
      <c r="A47" s="27">
        <v>8061</v>
      </c>
      <c r="B47" s="28" t="str">
        <f t="shared" si="14"/>
        <v>Inprogress</v>
      </c>
      <c r="C47" s="43" t="s">
        <v>1034</v>
      </c>
      <c r="D47" s="43" t="s">
        <v>989</v>
      </c>
      <c r="E47" s="45"/>
      <c r="F47" s="45" t="s">
        <v>951</v>
      </c>
      <c r="G47" s="45"/>
      <c r="H47" s="45"/>
      <c r="I47" s="49"/>
      <c r="J47" s="49"/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50">
        <f t="shared" si="15"/>
        <v>0</v>
      </c>
      <c r="R47" s="50">
        <f t="shared" si="16"/>
        <v>0</v>
      </c>
      <c r="S47" s="5"/>
      <c r="W47" s="4"/>
      <c r="X47" s="4"/>
    </row>
    <row r="48" spans="1:24" customFormat="1" ht="65.099999999999994" customHeight="1" x14ac:dyDescent="0.45">
      <c r="A48" s="27">
        <v>8060</v>
      </c>
      <c r="B48" s="28" t="str">
        <f t="shared" si="14"/>
        <v>Inprogress</v>
      </c>
      <c r="C48" s="43" t="s">
        <v>1035</v>
      </c>
      <c r="D48" s="43" t="s">
        <v>989</v>
      </c>
      <c r="E48" s="45"/>
      <c r="F48" s="45"/>
      <c r="G48" s="45"/>
      <c r="H48" s="45"/>
      <c r="I48" s="49"/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50">
        <f t="shared" si="15"/>
        <v>0</v>
      </c>
      <c r="R48" s="50">
        <f t="shared" si="16"/>
        <v>0</v>
      </c>
      <c r="S48" s="5"/>
      <c r="W48" s="4"/>
      <c r="X48" s="4"/>
    </row>
    <row r="49" spans="1:24" customFormat="1" ht="65.099999999999994" customHeight="1" x14ac:dyDescent="0.45">
      <c r="A49" s="27">
        <v>8058</v>
      </c>
      <c r="B49" s="28" t="str">
        <f t="shared" si="14"/>
        <v>Inprogress</v>
      </c>
      <c r="C49" s="43" t="s">
        <v>1036</v>
      </c>
      <c r="D49" s="43" t="s">
        <v>963</v>
      </c>
      <c r="E49" s="45"/>
      <c r="F49" s="45"/>
      <c r="G49" s="45"/>
      <c r="H49" s="45"/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50">
        <f t="shared" si="15"/>
        <v>0</v>
      </c>
      <c r="R49" s="50">
        <f t="shared" si="16"/>
        <v>0</v>
      </c>
      <c r="S49" s="5"/>
      <c r="W49" s="4"/>
      <c r="X49" s="4"/>
    </row>
    <row r="50" spans="1:24" customFormat="1" ht="65.099999999999994" customHeight="1" x14ac:dyDescent="0.45">
      <c r="A50" s="27">
        <v>8057</v>
      </c>
      <c r="B50" s="28" t="str">
        <f t="shared" si="14"/>
        <v>Inprogress</v>
      </c>
      <c r="C50" s="43" t="s">
        <v>1037</v>
      </c>
      <c r="D50" s="43" t="s">
        <v>963</v>
      </c>
      <c r="E50" s="45"/>
      <c r="F50" s="45"/>
      <c r="G50" s="45"/>
      <c r="H50" s="45"/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50">
        <f t="shared" si="15"/>
        <v>0</v>
      </c>
      <c r="R50" s="50">
        <f t="shared" si="16"/>
        <v>0</v>
      </c>
      <c r="S50" s="5"/>
      <c r="W50" s="4"/>
      <c r="X50" s="4"/>
    </row>
    <row r="51" spans="1:24" customFormat="1" ht="65.099999999999994" customHeight="1" x14ac:dyDescent="0.45">
      <c r="A51" s="27">
        <v>7845</v>
      </c>
      <c r="B51" s="28" t="str">
        <f t="shared" si="14"/>
        <v>Inprogress</v>
      </c>
      <c r="C51" s="43" t="s">
        <v>1039</v>
      </c>
      <c r="D51" s="43" t="s">
        <v>963</v>
      </c>
      <c r="E51" s="45"/>
      <c r="F51" s="45"/>
      <c r="G51" s="45"/>
      <c r="H51" s="45"/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  <c r="Q51" s="50">
        <f t="shared" ref="Q51" si="17">SUMPRODUCT($K$11:$P$11,K51:P51)/0.8</f>
        <v>0</v>
      </c>
      <c r="R51" s="50">
        <f t="shared" ref="R51" si="18">SUMPRODUCT($I$11:$P$11,I51:P51)</f>
        <v>0</v>
      </c>
      <c r="S51" s="5"/>
      <c r="W51" s="4"/>
      <c r="X51" s="4"/>
    </row>
    <row r="52" spans="1:24" customFormat="1" ht="65.099999999999994" customHeight="1" x14ac:dyDescent="0.45">
      <c r="A52" s="27">
        <v>8048</v>
      </c>
      <c r="B52" s="28" t="str">
        <f t="shared" si="14"/>
        <v>Inprogress</v>
      </c>
      <c r="C52" s="43" t="s">
        <v>1060</v>
      </c>
      <c r="D52" s="43" t="s">
        <v>963</v>
      </c>
      <c r="E52" s="45"/>
      <c r="F52" s="45"/>
      <c r="G52" s="45" t="s">
        <v>1062</v>
      </c>
      <c r="H52" s="45"/>
      <c r="I52" s="49">
        <v>1</v>
      </c>
      <c r="J52" s="49">
        <v>1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50"/>
      <c r="R52" s="50"/>
      <c r="S52" s="5"/>
      <c r="W52" s="4"/>
      <c r="X52" s="4"/>
    </row>
    <row r="53" spans="1:24" customFormat="1" ht="65.099999999999994" customHeight="1" x14ac:dyDescent="0.45">
      <c r="A53" s="27">
        <v>8047</v>
      </c>
      <c r="B53" s="28" t="str">
        <f t="shared" si="14"/>
        <v>Inprogress</v>
      </c>
      <c r="C53" s="43" t="s">
        <v>1058</v>
      </c>
      <c r="D53" s="43" t="s">
        <v>963</v>
      </c>
      <c r="E53" s="45"/>
      <c r="F53" s="45"/>
      <c r="G53" s="45"/>
      <c r="H53" s="45"/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50"/>
      <c r="R53" s="50"/>
      <c r="S53" s="5"/>
      <c r="W53" s="4"/>
      <c r="X53" s="4"/>
    </row>
    <row r="54" spans="1:24" customFormat="1" ht="65.099999999999994" customHeight="1" x14ac:dyDescent="0.45">
      <c r="A54" s="27">
        <v>8046</v>
      </c>
      <c r="B54" s="28" t="str">
        <f t="shared" si="14"/>
        <v>Inprogress</v>
      </c>
      <c r="C54" s="43" t="s">
        <v>1059</v>
      </c>
      <c r="D54" s="43" t="s">
        <v>963</v>
      </c>
      <c r="E54" s="45"/>
      <c r="F54" s="45"/>
      <c r="G54" s="45"/>
      <c r="H54" s="45"/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50"/>
      <c r="R54" s="50"/>
      <c r="S54" s="5"/>
      <c r="W54" s="4"/>
      <c r="X54" s="4"/>
    </row>
    <row r="55" spans="1:24" customFormat="1" ht="65.099999999999994" customHeight="1" x14ac:dyDescent="0.45">
      <c r="A55" s="27">
        <v>8045</v>
      </c>
      <c r="B55" s="28" t="str">
        <f t="shared" si="14"/>
        <v>Inprogress</v>
      </c>
      <c r="C55" s="43" t="s">
        <v>1057</v>
      </c>
      <c r="D55" s="43" t="s">
        <v>963</v>
      </c>
      <c r="E55" s="45"/>
      <c r="F55" s="45"/>
      <c r="G55" s="45"/>
      <c r="H55" s="45"/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50"/>
      <c r="R55" s="50"/>
      <c r="S55" s="5"/>
      <c r="W55" s="4"/>
      <c r="X55" s="4"/>
    </row>
    <row r="56" spans="1:24" customFormat="1" ht="65.099999999999994" customHeight="1" x14ac:dyDescent="0.45">
      <c r="A56" s="27">
        <v>8044</v>
      </c>
      <c r="B56" s="28" t="str">
        <f t="shared" si="14"/>
        <v>Inprogress</v>
      </c>
      <c r="C56" s="43" t="s">
        <v>1056</v>
      </c>
      <c r="D56" s="43" t="s">
        <v>963</v>
      </c>
      <c r="E56" s="45" t="s">
        <v>955</v>
      </c>
      <c r="F56" s="45" t="s">
        <v>952</v>
      </c>
      <c r="G56" s="45" t="s">
        <v>955</v>
      </c>
      <c r="H56" s="45"/>
      <c r="I56" s="49">
        <v>1</v>
      </c>
      <c r="J56" s="49">
        <v>1</v>
      </c>
      <c r="K56" s="49">
        <v>1</v>
      </c>
      <c r="L56" s="49">
        <v>1</v>
      </c>
      <c r="M56" s="49">
        <v>1</v>
      </c>
      <c r="N56" s="49">
        <v>1</v>
      </c>
      <c r="O56" s="49">
        <v>1</v>
      </c>
      <c r="P56" s="49">
        <v>1</v>
      </c>
      <c r="Q56" s="50"/>
      <c r="R56" s="50"/>
      <c r="S56" s="5"/>
      <c r="W56" s="4"/>
      <c r="X56" s="4"/>
    </row>
    <row r="57" spans="1:24" customFormat="1" ht="65.099999999999994" customHeight="1" x14ac:dyDescent="0.45">
      <c r="A57" s="27">
        <v>8043</v>
      </c>
      <c r="B57" s="28" t="str">
        <f t="shared" si="14"/>
        <v>Inprogress</v>
      </c>
      <c r="C57" s="43" t="s">
        <v>1055</v>
      </c>
      <c r="D57" s="43" t="s">
        <v>963</v>
      </c>
      <c r="E57" s="45"/>
      <c r="F57" s="45"/>
      <c r="G57" s="45"/>
      <c r="H57" s="45"/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  <c r="Q57" s="50"/>
      <c r="R57" s="50"/>
      <c r="S57" s="5"/>
      <c r="W57" s="4"/>
      <c r="X57" s="4"/>
    </row>
    <row r="58" spans="1:24" customFormat="1" ht="65.099999999999994" customHeight="1" x14ac:dyDescent="0.45">
      <c r="A58" s="27">
        <v>7890</v>
      </c>
      <c r="B58" s="28" t="str">
        <f t="shared" si="14"/>
        <v>Inprogress</v>
      </c>
      <c r="C58" s="43" t="s">
        <v>1040</v>
      </c>
      <c r="D58" s="43" t="s">
        <v>963</v>
      </c>
      <c r="E58" s="45"/>
      <c r="F58" s="45"/>
      <c r="G58" s="45"/>
      <c r="H58" s="45"/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50"/>
      <c r="R58" s="50"/>
      <c r="S58" s="5"/>
      <c r="W58" s="4"/>
      <c r="X58" s="4"/>
    </row>
    <row r="59" spans="1:24" customFormat="1" ht="65.099999999999994" customHeight="1" x14ac:dyDescent="0.45">
      <c r="A59" s="27">
        <v>7889</v>
      </c>
      <c r="B59" s="28" t="str">
        <f t="shared" si="14"/>
        <v>Inprogress</v>
      </c>
      <c r="C59" s="43" t="s">
        <v>1041</v>
      </c>
      <c r="D59" s="43" t="s">
        <v>963</v>
      </c>
      <c r="E59" s="45"/>
      <c r="F59" s="22"/>
      <c r="G59" s="45"/>
      <c r="H59" s="45"/>
      <c r="I59" s="49">
        <v>0</v>
      </c>
      <c r="J59" s="49">
        <v>0</v>
      </c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50"/>
      <c r="R59" s="50"/>
      <c r="S59" s="5"/>
      <c r="W59" s="4"/>
      <c r="X59" s="4"/>
    </row>
    <row r="60" spans="1:24" customFormat="1" ht="65.099999999999994" customHeight="1" x14ac:dyDescent="0.45">
      <c r="A60" s="27">
        <v>7888</v>
      </c>
      <c r="B60" s="28" t="str">
        <f t="shared" si="14"/>
        <v>Inprogress</v>
      </c>
      <c r="C60" s="43" t="s">
        <v>1042</v>
      </c>
      <c r="D60" s="43" t="s">
        <v>963</v>
      </c>
      <c r="E60" s="45" t="s">
        <v>1064</v>
      </c>
      <c r="F60" s="45" t="s">
        <v>1064</v>
      </c>
      <c r="G60" s="45" t="s">
        <v>1063</v>
      </c>
      <c r="H60" s="45" t="s">
        <v>1064</v>
      </c>
      <c r="I60" s="49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50"/>
      <c r="R60" s="50"/>
      <c r="S60" s="5"/>
      <c r="W60" s="4"/>
      <c r="X60" s="4"/>
    </row>
    <row r="61" spans="1:24" customFormat="1" ht="65.099999999999994" customHeight="1" x14ac:dyDescent="0.45">
      <c r="A61" s="27">
        <v>7887</v>
      </c>
      <c r="B61" s="28" t="str">
        <f t="shared" si="14"/>
        <v>Inprogress</v>
      </c>
      <c r="C61" s="43" t="s">
        <v>1043</v>
      </c>
      <c r="D61" s="43" t="s">
        <v>989</v>
      </c>
      <c r="E61" s="45"/>
      <c r="F61" s="45"/>
      <c r="G61" s="45"/>
      <c r="H61" s="45"/>
      <c r="I61" s="49"/>
      <c r="J61" s="49"/>
      <c r="K61" s="49">
        <v>0</v>
      </c>
      <c r="L61" s="49">
        <v>0</v>
      </c>
      <c r="M61" s="49">
        <v>0</v>
      </c>
      <c r="N61" s="49">
        <v>0</v>
      </c>
      <c r="O61" s="49">
        <v>0</v>
      </c>
      <c r="P61" s="49">
        <v>0</v>
      </c>
      <c r="Q61" s="50"/>
      <c r="R61" s="50"/>
      <c r="S61" s="5"/>
      <c r="W61" s="4"/>
      <c r="X61" s="4"/>
    </row>
    <row r="62" spans="1:24" customFormat="1" ht="65.099999999999994" customHeight="1" x14ac:dyDescent="0.45">
      <c r="A62" s="27">
        <v>7886</v>
      </c>
      <c r="B62" s="28" t="str">
        <f t="shared" si="14"/>
        <v>Inprogress</v>
      </c>
      <c r="C62" s="43" t="s">
        <v>1044</v>
      </c>
      <c r="D62" s="43" t="s">
        <v>963</v>
      </c>
      <c r="E62" s="45"/>
      <c r="F62" s="45"/>
      <c r="G62" s="45"/>
      <c r="H62" s="45"/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0</v>
      </c>
      <c r="Q62" s="50"/>
      <c r="R62" s="50"/>
      <c r="S62" s="5"/>
      <c r="W62" s="4"/>
      <c r="X62" s="4"/>
    </row>
    <row r="63" spans="1:24" customFormat="1" ht="65.099999999999994" customHeight="1" x14ac:dyDescent="0.45">
      <c r="A63" s="27">
        <v>7885</v>
      </c>
      <c r="B63" s="28" t="str">
        <f t="shared" si="14"/>
        <v>Inprogress</v>
      </c>
      <c r="C63" s="43" t="s">
        <v>1045</v>
      </c>
      <c r="D63" s="43" t="s">
        <v>963</v>
      </c>
      <c r="E63" s="45"/>
      <c r="F63" s="45"/>
      <c r="G63" s="45"/>
      <c r="H63" s="45"/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49">
        <v>0</v>
      </c>
      <c r="P63" s="49">
        <v>0</v>
      </c>
      <c r="Q63" s="50"/>
      <c r="R63" s="50"/>
      <c r="S63" s="5"/>
      <c r="W63" s="4"/>
      <c r="X63" s="4"/>
    </row>
    <row r="64" spans="1:24" customFormat="1" ht="65.099999999999994" customHeight="1" x14ac:dyDescent="0.45">
      <c r="A64" s="27">
        <v>8189</v>
      </c>
      <c r="B64" s="28" t="str">
        <f t="shared" si="14"/>
        <v>Inprogress</v>
      </c>
      <c r="C64" s="43" t="s">
        <v>1049</v>
      </c>
      <c r="D64" s="43" t="s">
        <v>963</v>
      </c>
      <c r="E64" s="45"/>
      <c r="F64" s="45"/>
      <c r="G64" s="45"/>
      <c r="H64" s="45"/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50"/>
      <c r="R64" s="50"/>
      <c r="S64" s="5"/>
      <c r="W64" s="4"/>
      <c r="X64" s="4"/>
    </row>
    <row r="65" spans="1:24" customFormat="1" ht="65.099999999999994" customHeight="1" x14ac:dyDescent="0.45">
      <c r="A65" s="27">
        <v>8188</v>
      </c>
      <c r="B65" s="28" t="str">
        <f t="shared" si="14"/>
        <v>Inprogress</v>
      </c>
      <c r="C65" s="43" t="s">
        <v>1050</v>
      </c>
      <c r="D65" s="43" t="s">
        <v>963</v>
      </c>
      <c r="E65" s="45"/>
      <c r="F65" s="45"/>
      <c r="G65" s="45"/>
      <c r="H65" s="45"/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50"/>
      <c r="R65" s="50"/>
      <c r="S65" s="5"/>
      <c r="W65" s="4"/>
      <c r="X65" s="4"/>
    </row>
    <row r="66" spans="1:24" customFormat="1" ht="65.099999999999994" customHeight="1" x14ac:dyDescent="0.45">
      <c r="A66" s="27">
        <v>8187</v>
      </c>
      <c r="B66" s="28" t="str">
        <f t="shared" si="14"/>
        <v>Inprogress</v>
      </c>
      <c r="C66" s="43" t="s">
        <v>1051</v>
      </c>
      <c r="D66" s="43" t="s">
        <v>963</v>
      </c>
      <c r="E66" s="45"/>
      <c r="F66" s="45"/>
      <c r="G66" s="45"/>
      <c r="H66" s="45"/>
      <c r="I66" s="49">
        <v>0</v>
      </c>
      <c r="J66" s="49">
        <v>0</v>
      </c>
      <c r="K66" s="49">
        <v>0</v>
      </c>
      <c r="L66" s="49">
        <v>0</v>
      </c>
      <c r="M66" s="49">
        <v>0</v>
      </c>
      <c r="N66" s="49">
        <v>0</v>
      </c>
      <c r="O66" s="49">
        <v>0</v>
      </c>
      <c r="P66" s="49">
        <v>0</v>
      </c>
      <c r="Q66" s="50"/>
      <c r="R66" s="50"/>
      <c r="S66" s="5"/>
      <c r="W66" s="4"/>
      <c r="X66" s="4"/>
    </row>
    <row r="67" spans="1:24" customFormat="1" ht="65.099999999999994" customHeight="1" x14ac:dyDescent="0.45">
      <c r="A67" s="27">
        <v>8186</v>
      </c>
      <c r="B67" s="28" t="str">
        <f t="shared" si="14"/>
        <v>Inprogress</v>
      </c>
      <c r="C67" s="43" t="s">
        <v>1052</v>
      </c>
      <c r="D67" s="43" t="s">
        <v>963</v>
      </c>
      <c r="E67" s="45"/>
      <c r="F67" s="45"/>
      <c r="G67" s="45"/>
      <c r="H67" s="45"/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0</v>
      </c>
      <c r="P67" s="49">
        <v>0</v>
      </c>
      <c r="Q67" s="50"/>
      <c r="R67" s="50"/>
      <c r="S67" s="5"/>
      <c r="W67" s="4"/>
      <c r="X67" s="4"/>
    </row>
    <row r="68" spans="1:24" customFormat="1" ht="65.099999999999994" customHeight="1" x14ac:dyDescent="0.45">
      <c r="A68" s="27">
        <v>8185</v>
      </c>
      <c r="B68" s="28" t="str">
        <f t="shared" si="14"/>
        <v>Inprogress</v>
      </c>
      <c r="C68" s="43" t="s">
        <v>1053</v>
      </c>
      <c r="D68" s="43" t="s">
        <v>963</v>
      </c>
      <c r="E68" s="45"/>
      <c r="F68" s="45"/>
      <c r="G68" s="45"/>
      <c r="H68" s="45"/>
      <c r="I68" s="49">
        <v>0</v>
      </c>
      <c r="J68" s="49"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50"/>
      <c r="R68" s="50"/>
      <c r="S68" s="5"/>
      <c r="W68" s="4"/>
      <c r="X68" s="4"/>
    </row>
    <row r="69" spans="1:24" customFormat="1" ht="65.099999999999994" customHeight="1" x14ac:dyDescent="0.45">
      <c r="A69" s="27">
        <v>8184</v>
      </c>
      <c r="B69" s="28" t="str">
        <f t="shared" si="14"/>
        <v>Inprogress</v>
      </c>
      <c r="C69" s="43" t="s">
        <v>1054</v>
      </c>
      <c r="D69" s="43" t="s">
        <v>963</v>
      </c>
      <c r="E69" s="45"/>
      <c r="F69" s="45"/>
      <c r="G69" s="45"/>
      <c r="H69" s="45"/>
      <c r="I69" s="49">
        <v>0</v>
      </c>
      <c r="J69" s="49">
        <v>0</v>
      </c>
      <c r="K69" s="49">
        <v>0</v>
      </c>
      <c r="L69" s="49">
        <v>0</v>
      </c>
      <c r="M69" s="49">
        <v>0</v>
      </c>
      <c r="N69" s="49">
        <v>0</v>
      </c>
      <c r="O69" s="49">
        <v>0</v>
      </c>
      <c r="P69" s="49">
        <v>0</v>
      </c>
      <c r="Q69" s="50">
        <f t="shared" si="15"/>
        <v>0</v>
      </c>
      <c r="R69" s="50">
        <f t="shared" si="16"/>
        <v>0</v>
      </c>
      <c r="S69" s="5"/>
      <c r="W69" s="4"/>
      <c r="X69" s="4"/>
    </row>
    <row r="70" spans="1:24" x14ac:dyDescent="0.45">
      <c r="F70" s="23"/>
      <c r="G70" s="23"/>
    </row>
    <row r="71" spans="1:24" x14ac:dyDescent="0.45">
      <c r="F71" s="23"/>
      <c r="G71" s="23"/>
    </row>
    <row r="72" spans="1:24" x14ac:dyDescent="0.45">
      <c r="F72" s="23"/>
      <c r="G72" s="23"/>
    </row>
    <row r="73" spans="1:24" x14ac:dyDescent="0.45">
      <c r="F73" s="23"/>
      <c r="G73" s="23"/>
    </row>
    <row r="74" spans="1:24" x14ac:dyDescent="0.45">
      <c r="F74" s="23"/>
      <c r="G74" s="23"/>
    </row>
    <row r="75" spans="1:24" x14ac:dyDescent="0.45">
      <c r="F75" s="23"/>
      <c r="G75" s="23"/>
    </row>
    <row r="76" spans="1:24" x14ac:dyDescent="0.45">
      <c r="F76" s="23"/>
      <c r="G76" s="23"/>
    </row>
    <row r="77" spans="1:24" x14ac:dyDescent="0.45">
      <c r="F77" s="23"/>
      <c r="G77" s="23"/>
    </row>
    <row r="78" spans="1:24" x14ac:dyDescent="0.45">
      <c r="F78" s="23"/>
      <c r="G78" s="23"/>
    </row>
    <row r="79" spans="1:24" x14ac:dyDescent="0.45">
      <c r="F79" s="23"/>
      <c r="G79" s="23"/>
    </row>
    <row r="80" spans="1:24" x14ac:dyDescent="0.45">
      <c r="F80" s="23"/>
      <c r="G80" s="23"/>
    </row>
    <row r="81" spans="5:9" x14ac:dyDescent="0.45">
      <c r="F81" s="23"/>
      <c r="G81" s="23"/>
    </row>
    <row r="82" spans="5:9" x14ac:dyDescent="0.45">
      <c r="F82" s="23"/>
      <c r="G82" s="23"/>
    </row>
    <row r="83" spans="5:9" x14ac:dyDescent="0.45">
      <c r="F83" s="23"/>
      <c r="G83" s="23"/>
    </row>
    <row r="84" spans="5:9" x14ac:dyDescent="0.45">
      <c r="F84" s="23"/>
      <c r="G84" s="23"/>
    </row>
    <row r="85" spans="5:9" x14ac:dyDescent="0.45">
      <c r="F85" s="23"/>
      <c r="G85" s="23"/>
    </row>
    <row r="86" spans="5:9" x14ac:dyDescent="0.45">
      <c r="F86" s="23"/>
      <c r="G86" s="23"/>
    </row>
    <row r="87" spans="5:9" x14ac:dyDescent="0.45">
      <c r="F87" s="23"/>
      <c r="G87" s="23"/>
    </row>
    <row r="88" spans="5:9" x14ac:dyDescent="0.45">
      <c r="F88" s="23"/>
      <c r="G88" s="23"/>
    </row>
    <row r="89" spans="5:9" x14ac:dyDescent="0.45">
      <c r="F89" s="23"/>
      <c r="G89" s="23"/>
    </row>
    <row r="90" spans="5:9" x14ac:dyDescent="0.45">
      <c r="E90" s="22" t="s">
        <v>925</v>
      </c>
      <c r="F90" s="23" t="s">
        <v>930</v>
      </c>
      <c r="G90" s="23" t="e">
        <f ca="1">[1]!s2m(E90)</f>
        <v>#NAME?</v>
      </c>
      <c r="H90" s="22" t="e">
        <f ca="1">[1]!s2m(F90)</f>
        <v>#NAME?</v>
      </c>
      <c r="I90" s="40" t="e">
        <f t="shared" ref="I90:I106" ca="1" si="19">H90-TODAY()</f>
        <v>#NAME?</v>
      </c>
    </row>
    <row r="91" spans="5:9" x14ac:dyDescent="0.45">
      <c r="E91" s="22" t="s">
        <v>925</v>
      </c>
      <c r="F91" s="22" t="s">
        <v>930</v>
      </c>
      <c r="G91" s="23" t="e">
        <f ca="1">[1]!s2m(E91)</f>
        <v>#NAME?</v>
      </c>
      <c r="H91" s="22" t="e">
        <f ca="1">[1]!s2m(F91)</f>
        <v>#NAME?</v>
      </c>
      <c r="I91" s="40" t="e">
        <f t="shared" ca="1" si="19"/>
        <v>#NAME?</v>
      </c>
    </row>
    <row r="92" spans="5:9" x14ac:dyDescent="0.45">
      <c r="E92" s="22" t="s">
        <v>926</v>
      </c>
      <c r="F92" s="22" t="s">
        <v>931</v>
      </c>
      <c r="G92" s="23" t="e">
        <f ca="1">[1]!s2m(E92)</f>
        <v>#NAME?</v>
      </c>
      <c r="H92" s="22" t="e">
        <f ca="1">[1]!s2m(F92)</f>
        <v>#NAME?</v>
      </c>
      <c r="I92" s="40" t="e">
        <f t="shared" ca="1" si="19"/>
        <v>#NAME?</v>
      </c>
    </row>
    <row r="93" spans="5:9" x14ac:dyDescent="0.45">
      <c r="E93" s="22" t="s">
        <v>924</v>
      </c>
      <c r="F93" s="22" t="s">
        <v>932</v>
      </c>
      <c r="G93" s="23" t="e">
        <f ca="1">[1]!s2m(E93)</f>
        <v>#NAME?</v>
      </c>
      <c r="H93" s="22" t="e">
        <f ca="1">[1]!s2m(F93)</f>
        <v>#NAME?</v>
      </c>
      <c r="I93" s="40" t="e">
        <f t="shared" ca="1" si="19"/>
        <v>#NAME?</v>
      </c>
    </row>
    <row r="94" spans="5:9" x14ac:dyDescent="0.45">
      <c r="E94" s="22" t="s">
        <v>927</v>
      </c>
      <c r="F94" s="22" t="s">
        <v>933</v>
      </c>
      <c r="G94" s="23" t="e">
        <f ca="1">[1]!s2m(E94)</f>
        <v>#NAME?</v>
      </c>
      <c r="H94" s="22" t="e">
        <f ca="1">[1]!s2m(F94)</f>
        <v>#NAME?</v>
      </c>
      <c r="I94" s="40" t="e">
        <f t="shared" ca="1" si="19"/>
        <v>#NAME?</v>
      </c>
    </row>
    <row r="95" spans="5:9" x14ac:dyDescent="0.45">
      <c r="E95" s="22" t="s">
        <v>928</v>
      </c>
      <c r="F95" s="22" t="s">
        <v>934</v>
      </c>
      <c r="G95" s="23" t="e">
        <f ca="1">[1]!s2m(E95)</f>
        <v>#NAME?</v>
      </c>
      <c r="H95" s="22" t="e">
        <f ca="1">[1]!s2m(F95)</f>
        <v>#NAME?</v>
      </c>
      <c r="I95" s="40" t="e">
        <f t="shared" ca="1" si="19"/>
        <v>#NAME?</v>
      </c>
    </row>
    <row r="96" spans="5:9" x14ac:dyDescent="0.45">
      <c r="E96" s="22" t="s">
        <v>929</v>
      </c>
      <c r="F96" s="22" t="s">
        <v>935</v>
      </c>
      <c r="G96" s="23" t="e">
        <f ca="1">[1]!s2m(E96)</f>
        <v>#NAME?</v>
      </c>
      <c r="H96" s="22" t="e">
        <f ca="1">[1]!s2m(F96)</f>
        <v>#NAME?</v>
      </c>
      <c r="I96" s="40" t="e">
        <f t="shared" ca="1" si="19"/>
        <v>#NAME?</v>
      </c>
    </row>
    <row r="97" spans="5:9" x14ac:dyDescent="0.45">
      <c r="E97" s="22" t="s">
        <v>936</v>
      </c>
      <c r="F97" s="22" t="s">
        <v>943</v>
      </c>
      <c r="G97" s="23" t="e">
        <f ca="1">[1]!s2m(E97)</f>
        <v>#NAME?</v>
      </c>
      <c r="H97" s="22" t="e">
        <f ca="1">[1]!s2m(F97)</f>
        <v>#NAME?</v>
      </c>
      <c r="I97" s="40" t="e">
        <f t="shared" ca="1" si="19"/>
        <v>#NAME?</v>
      </c>
    </row>
    <row r="98" spans="5:9" x14ac:dyDescent="0.45">
      <c r="E98" s="22" t="s">
        <v>937</v>
      </c>
      <c r="F98" s="22" t="s">
        <v>944</v>
      </c>
      <c r="G98" s="23" t="e">
        <f ca="1">[1]!s2m(E98)</f>
        <v>#NAME?</v>
      </c>
      <c r="H98" s="22" t="e">
        <f ca="1">[1]!s2m(F98)</f>
        <v>#NAME?</v>
      </c>
      <c r="I98" s="40" t="e">
        <f t="shared" ca="1" si="19"/>
        <v>#NAME?</v>
      </c>
    </row>
    <row r="99" spans="5:9" x14ac:dyDescent="0.45">
      <c r="E99" s="22" t="s">
        <v>681</v>
      </c>
      <c r="F99" s="22" t="s">
        <v>945</v>
      </c>
      <c r="G99" s="23" t="e">
        <f ca="1">[1]!s2m(E99)</f>
        <v>#NAME?</v>
      </c>
      <c r="H99" s="22" t="e">
        <f ca="1">[1]!s2m(F99)</f>
        <v>#NAME?</v>
      </c>
      <c r="I99" s="40" t="e">
        <f t="shared" ca="1" si="19"/>
        <v>#NAME?</v>
      </c>
    </row>
    <row r="100" spans="5:9" x14ac:dyDescent="0.45">
      <c r="E100" s="22" t="s">
        <v>938</v>
      </c>
      <c r="F100" s="22" t="s">
        <v>946</v>
      </c>
      <c r="G100" s="23" t="e">
        <f ca="1">[1]!s2m(E100)</f>
        <v>#NAME?</v>
      </c>
      <c r="H100" s="22" t="e">
        <f ca="1">[1]!s2m(F100)</f>
        <v>#NAME?</v>
      </c>
      <c r="I100" s="40" t="e">
        <f t="shared" ca="1" si="19"/>
        <v>#NAME?</v>
      </c>
    </row>
    <row r="101" spans="5:9" x14ac:dyDescent="0.45">
      <c r="E101" s="22" t="s">
        <v>939</v>
      </c>
      <c r="F101" s="22" t="s">
        <v>947</v>
      </c>
      <c r="G101" s="23" t="e">
        <f ca="1">[1]!s2m(E101)</f>
        <v>#NAME?</v>
      </c>
      <c r="H101" s="22" t="e">
        <f ca="1">[1]!s2m(F101)</f>
        <v>#NAME?</v>
      </c>
      <c r="I101" s="40" t="e">
        <f t="shared" ca="1" si="19"/>
        <v>#NAME?</v>
      </c>
    </row>
    <row r="102" spans="5:9" x14ac:dyDescent="0.45">
      <c r="E102" s="22" t="s">
        <v>940</v>
      </c>
      <c r="F102" s="22" t="s">
        <v>948</v>
      </c>
      <c r="G102" s="23" t="e">
        <f ca="1">[1]!s2m(E102)</f>
        <v>#NAME?</v>
      </c>
      <c r="H102" s="22" t="e">
        <f ca="1">[1]!s2m(F102)</f>
        <v>#NAME?</v>
      </c>
      <c r="I102" s="40" t="e">
        <f t="shared" ca="1" si="19"/>
        <v>#NAME?</v>
      </c>
    </row>
    <row r="103" spans="5:9" x14ac:dyDescent="0.45">
      <c r="E103" s="22" t="s">
        <v>941</v>
      </c>
      <c r="F103" s="22" t="s">
        <v>949</v>
      </c>
      <c r="G103" s="23" t="e">
        <f ca="1">[1]!s2m(E103)</f>
        <v>#NAME?</v>
      </c>
      <c r="H103" s="22" t="e">
        <f ca="1">[1]!s2m(F103)</f>
        <v>#NAME?</v>
      </c>
      <c r="I103" s="40" t="e">
        <f t="shared" ca="1" si="19"/>
        <v>#NAME?</v>
      </c>
    </row>
    <row r="104" spans="5:9" x14ac:dyDescent="0.45">
      <c r="E104" s="22" t="s">
        <v>942</v>
      </c>
      <c r="F104" s="22" t="s">
        <v>950</v>
      </c>
      <c r="G104" s="23" t="e">
        <f ca="1">[1]!s2m(E104)</f>
        <v>#NAME?</v>
      </c>
      <c r="H104" s="22" t="e">
        <f ca="1">[1]!s2m(F104)</f>
        <v>#NAME?</v>
      </c>
      <c r="I104" s="40" t="e">
        <f t="shared" ca="1" si="19"/>
        <v>#NAME?</v>
      </c>
    </row>
    <row r="105" spans="5:9" x14ac:dyDescent="0.45">
      <c r="E105" s="22" t="s">
        <v>938</v>
      </c>
      <c r="F105" s="22" t="s">
        <v>946</v>
      </c>
      <c r="G105" s="23" t="e">
        <f ca="1">[1]!s2m(E105)</f>
        <v>#NAME?</v>
      </c>
      <c r="H105" s="22" t="e">
        <f ca="1">[1]!s2m(F105)</f>
        <v>#NAME?</v>
      </c>
      <c r="I105" s="40" t="e">
        <f t="shared" ca="1" si="19"/>
        <v>#NAME?</v>
      </c>
    </row>
    <row r="106" spans="5:9" x14ac:dyDescent="0.45">
      <c r="E106" s="22" t="s">
        <v>942</v>
      </c>
      <c r="F106" s="22" t="s">
        <v>950</v>
      </c>
      <c r="G106" s="23" t="e">
        <f ca="1">[1]!s2m(E106)</f>
        <v>#NAME?</v>
      </c>
      <c r="H106" s="22" t="e">
        <f ca="1">[1]!s2m(F106)</f>
        <v>#NAME?</v>
      </c>
      <c r="I106" s="40" t="e">
        <f t="shared" ca="1" si="19"/>
        <v>#NAME?</v>
      </c>
    </row>
  </sheetData>
  <mergeCells count="47">
    <mergeCell ref="A2:P2"/>
    <mergeCell ref="Q2:R2"/>
    <mergeCell ref="B8:B11"/>
    <mergeCell ref="A8:A11"/>
    <mergeCell ref="Q3:R5"/>
    <mergeCell ref="K3:M5"/>
    <mergeCell ref="K6:M7"/>
    <mergeCell ref="B6:C6"/>
    <mergeCell ref="A3:C3"/>
    <mergeCell ref="B4:C4"/>
    <mergeCell ref="B5:C5"/>
    <mergeCell ref="B7:C7"/>
    <mergeCell ref="H10:H11"/>
    <mergeCell ref="E3:G5"/>
    <mergeCell ref="I9:I10"/>
    <mergeCell ref="J9:J10"/>
    <mergeCell ref="E6:G7"/>
    <mergeCell ref="H6:J7"/>
    <mergeCell ref="H3:J5"/>
    <mergeCell ref="AB5:AB6"/>
    <mergeCell ref="S5:S6"/>
    <mergeCell ref="X5:X6"/>
    <mergeCell ref="Y5:Y6"/>
    <mergeCell ref="T5:T6"/>
    <mergeCell ref="U5:U6"/>
    <mergeCell ref="V5:V6"/>
    <mergeCell ref="W5:W6"/>
    <mergeCell ref="Q6:R6"/>
    <mergeCell ref="Q7:R7"/>
    <mergeCell ref="N3:P5"/>
    <mergeCell ref="N6:P7"/>
    <mergeCell ref="R8:R10"/>
    <mergeCell ref="Q8:Q10"/>
    <mergeCell ref="I8:P8"/>
    <mergeCell ref="K9:K10"/>
    <mergeCell ref="L9:L10"/>
    <mergeCell ref="P9:P10"/>
    <mergeCell ref="M9:M10"/>
    <mergeCell ref="N9:N10"/>
    <mergeCell ref="O9:O10"/>
    <mergeCell ref="C8:C11"/>
    <mergeCell ref="D8:D11"/>
    <mergeCell ref="E10:E11"/>
    <mergeCell ref="F10:F11"/>
    <mergeCell ref="G10:G11"/>
    <mergeCell ref="G8:H9"/>
    <mergeCell ref="E8:F9"/>
  </mergeCells>
  <conditionalFormatting sqref="B12:B69">
    <cfRule type="cellIs" dxfId="80" priority="57" operator="equal">
      <formula>"Delete"</formula>
    </cfRule>
    <cfRule type="cellIs" dxfId="79" priority="147" operator="equal">
      <formula>"On time"</formula>
    </cfRule>
    <cfRule type="cellIs" dxfId="78" priority="148" operator="equal">
      <formula>"Delay"</formula>
    </cfRule>
    <cfRule type="cellIs" dxfId="77" priority="150" operator="equal">
      <formula>"Inprogress"</formula>
    </cfRule>
    <cfRule type="cellIs" dxfId="76" priority="151" operator="equal">
      <formula>"Ahead of schedule"</formula>
    </cfRule>
  </conditionalFormatting>
  <conditionalFormatting sqref="B6:D6">
    <cfRule type="cellIs" dxfId="75" priority="149" operator="equal">
      <formula>"Delay"</formula>
    </cfRule>
  </conditionalFormatting>
  <conditionalFormatting sqref="I12:R69">
    <cfRule type="cellIs" dxfId="74" priority="1" operator="equal">
      <formula>1</formula>
    </cfRule>
  </conditionalFormatting>
  <conditionalFormatting sqref="Q11:R11">
    <cfRule type="dataBar" priority="86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{7CBC713D-2D73-43F3-B1DD-C4B5B438CE97}</x14:id>
        </ext>
      </extLst>
    </cfRule>
  </conditionalFormatting>
  <conditionalFormatting sqref="Q12:R69">
    <cfRule type="cellIs" dxfId="73" priority="87" operator="between">
      <formula>0.01</formula>
      <formula>0.99</formula>
    </cfRule>
    <cfRule type="cellIs" dxfId="72" priority="89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C713D-2D73-43F3-B1DD-C4B5B438C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5" tint="-0.249977111117893"/>
  </sheetPr>
  <dimension ref="A1:AL90"/>
  <sheetViews>
    <sheetView view="pageBreakPreview" topLeftCell="A15" zoomScale="40" zoomScaleNormal="55" zoomScaleSheetLayoutView="40" zoomScalePageLayoutView="40" workbookViewId="0">
      <selection activeCell="H20" sqref="H20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25" width="10.3984375" style="22" customWidth="1"/>
    <col min="26" max="27" width="10.3984375" style="22" hidden="1" customWidth="1"/>
    <col min="28" max="28" width="10.3984375" style="22" customWidth="1"/>
    <col min="29" max="30" width="12.265625" style="22" customWidth="1"/>
    <col min="31" max="16384" width="9.1328125" style="22"/>
  </cols>
  <sheetData>
    <row r="1" spans="1:38" ht="16.149999999999999" thickBot="1" x14ac:dyDescent="0.5"/>
    <row r="2" spans="1:38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38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38" customFormat="1" ht="19.7" customHeight="1" thickBot="1" x14ac:dyDescent="0.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38" customFormat="1" ht="19.7" customHeight="1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S5" s="105" t="s">
        <v>173</v>
      </c>
      <c r="T5" s="107" t="s">
        <v>147</v>
      </c>
      <c r="U5" s="107" t="s">
        <v>155</v>
      </c>
      <c r="V5" s="107" t="s">
        <v>156</v>
      </c>
      <c r="W5" s="107" t="s">
        <v>157</v>
      </c>
      <c r="X5" s="107" t="s">
        <v>158</v>
      </c>
      <c r="Y5" s="107" t="s">
        <v>159</v>
      </c>
      <c r="Z5" s="7"/>
      <c r="AA5" s="7"/>
      <c r="AB5" s="103" t="s">
        <v>160</v>
      </c>
      <c r="AC5" s="14"/>
      <c r="AL5" s="6"/>
    </row>
    <row r="6" spans="1:38" customFormat="1" ht="22.5" customHeight="1" thickBot="1" x14ac:dyDescent="0.5">
      <c r="A6" s="32" t="s">
        <v>152</v>
      </c>
      <c r="B6" s="131"/>
      <c r="C6" s="131"/>
      <c r="D6" s="34"/>
      <c r="E6" s="101" t="s">
        <v>987</v>
      </c>
      <c r="F6" s="101"/>
      <c r="G6" s="101"/>
      <c r="H6" s="75" t="s">
        <v>921</v>
      </c>
      <c r="I6" s="75"/>
      <c r="J6" s="75"/>
      <c r="K6" s="75">
        <f>COUNTIF(B17:B53,"On time")</f>
        <v>0</v>
      </c>
      <c r="L6" s="75"/>
      <c r="M6" s="75"/>
      <c r="N6" s="120">
        <f>COUNTIF(B27:B53,"Inprogress")</f>
        <v>27</v>
      </c>
      <c r="O6" s="121"/>
      <c r="P6" s="122"/>
      <c r="Q6" s="109" t="s">
        <v>1047</v>
      </c>
      <c r="R6" s="109"/>
      <c r="S6" s="106"/>
      <c r="T6" s="108"/>
      <c r="U6" s="108"/>
      <c r="V6" s="108"/>
      <c r="W6" s="108"/>
      <c r="X6" s="108"/>
      <c r="Y6" s="108"/>
      <c r="AB6" s="104"/>
      <c r="AC6" s="15"/>
    </row>
    <row r="7" spans="1:38" customFormat="1" ht="24.75" customHeight="1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  <c r="S7" s="16">
        <v>0</v>
      </c>
      <c r="T7" s="10">
        <v>0.05</v>
      </c>
      <c r="U7" s="10">
        <v>0.1</v>
      </c>
      <c r="V7" s="10">
        <v>0.15</v>
      </c>
      <c r="W7" s="10">
        <v>0.11</v>
      </c>
      <c r="X7" s="10">
        <v>0.2</v>
      </c>
      <c r="Y7" s="10">
        <v>0.24</v>
      </c>
      <c r="Z7" s="10">
        <v>0</v>
      </c>
      <c r="AA7" s="10">
        <v>0</v>
      </c>
      <c r="AB7" s="11">
        <v>0.15</v>
      </c>
      <c r="AC7" s="8" t="s">
        <v>171</v>
      </c>
    </row>
    <row r="8" spans="1:38" customFormat="1" ht="37.700000000000003" customHeight="1" thickBot="1" x14ac:dyDescent="0.5">
      <c r="A8" s="78" t="s">
        <v>956</v>
      </c>
      <c r="B8" s="78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  <c r="S8" s="17">
        <v>0.15</v>
      </c>
      <c r="T8" s="12">
        <v>0.05</v>
      </c>
      <c r="U8" s="12">
        <v>0.1</v>
      </c>
      <c r="V8" s="12">
        <v>0.15</v>
      </c>
      <c r="W8" s="12">
        <v>0.1</v>
      </c>
      <c r="X8" s="12">
        <v>0.15</v>
      </c>
      <c r="Y8" s="12">
        <v>0.15</v>
      </c>
      <c r="Z8" s="12">
        <v>0</v>
      </c>
      <c r="AA8" s="12">
        <v>0</v>
      </c>
      <c r="AB8" s="13">
        <v>0.15</v>
      </c>
      <c r="AC8" s="9" t="s">
        <v>172</v>
      </c>
    </row>
    <row r="9" spans="1:38" customFormat="1" ht="26.25" customHeight="1" thickBot="1" x14ac:dyDescent="0.5">
      <c r="A9" s="78"/>
      <c r="B9" s="78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  <c r="S9" s="2"/>
      <c r="T9" s="2"/>
      <c r="U9" s="2">
        <v>0.2</v>
      </c>
      <c r="V9" s="2">
        <v>0.3</v>
      </c>
      <c r="W9" s="2"/>
      <c r="X9" s="2"/>
      <c r="AB9" s="13">
        <v>0.5</v>
      </c>
      <c r="AC9" t="s">
        <v>919</v>
      </c>
    </row>
    <row r="10" spans="1:38" customFormat="1" ht="36.4" customHeight="1" x14ac:dyDescent="0.45">
      <c r="A10" s="78"/>
      <c r="B10" s="78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  <c r="T10" s="3"/>
      <c r="U10" s="3"/>
      <c r="V10" s="3"/>
      <c r="W10" s="3"/>
    </row>
    <row r="11" spans="1:38" customFormat="1" ht="40.5" customHeight="1" x14ac:dyDescent="0.45">
      <c r="A11" s="78"/>
      <c r="B11" s="78"/>
      <c r="C11" s="84"/>
      <c r="D11" s="84"/>
      <c r="E11" s="86"/>
      <c r="F11" s="86"/>
      <c r="G11" s="86"/>
      <c r="H11" s="86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59">
        <f>AVERAGE(Q17:Q53)</f>
        <v>0</v>
      </c>
      <c r="R11" s="60">
        <f>AVERAGE(R17:R53)</f>
        <v>9.5238095238095247E-3</v>
      </c>
      <c r="T11" s="3"/>
      <c r="U11" s="3"/>
      <c r="V11" s="3"/>
      <c r="W11" s="3"/>
    </row>
    <row r="12" spans="1:38" customFormat="1" ht="65.099999999999994" customHeight="1" x14ac:dyDescent="0.45">
      <c r="A12" s="27">
        <v>8218</v>
      </c>
      <c r="B12" s="28" t="str">
        <f t="shared" ref="B12:B53" si="0">IF(R12=1,"On time","Inprogress")</f>
        <v>On time</v>
      </c>
      <c r="C12" s="43" t="s">
        <v>1061</v>
      </c>
      <c r="D12" s="42" t="s">
        <v>989</v>
      </c>
      <c r="E12" s="45"/>
      <c r="F12" s="45" t="s">
        <v>990</v>
      </c>
      <c r="G12" s="45"/>
      <c r="H12" s="45" t="s">
        <v>954</v>
      </c>
      <c r="I12" s="49"/>
      <c r="J12" s="49">
        <v>1</v>
      </c>
      <c r="K12" s="49">
        <v>1</v>
      </c>
      <c r="L12" s="49">
        <v>1</v>
      </c>
      <c r="M12" s="49">
        <v>1</v>
      </c>
      <c r="N12" s="49">
        <v>1</v>
      </c>
      <c r="O12" s="49">
        <v>1</v>
      </c>
      <c r="P12" s="49">
        <v>1</v>
      </c>
      <c r="Q12" s="50">
        <f t="shared" ref="Q12:Q53" si="1">SUMPRODUCT($K$11:$P$11,K12:P12)/0.8</f>
        <v>1</v>
      </c>
      <c r="R12" s="50">
        <f>SUMPRODUCT($I$11:$P$11,I12:P12)+15%</f>
        <v>1</v>
      </c>
      <c r="S12" s="5"/>
      <c r="T12" s="30"/>
      <c r="W12" s="4"/>
      <c r="X12" s="4"/>
    </row>
    <row r="13" spans="1:38" customFormat="1" ht="65.099999999999994" customHeight="1" x14ac:dyDescent="0.45">
      <c r="A13" s="27">
        <v>7765</v>
      </c>
      <c r="B13" s="28" t="str">
        <f t="shared" si="0"/>
        <v>On time</v>
      </c>
      <c r="C13" s="43" t="s">
        <v>1033</v>
      </c>
      <c r="D13" s="43" t="s">
        <v>989</v>
      </c>
      <c r="E13" s="45"/>
      <c r="F13" s="45" t="s">
        <v>750</v>
      </c>
      <c r="G13" s="45"/>
      <c r="H13" s="45" t="s">
        <v>750</v>
      </c>
      <c r="I13" s="49"/>
      <c r="J13" s="49"/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 t="shared" si="1"/>
        <v>1</v>
      </c>
      <c r="R13" s="50">
        <f>SUMPRODUCT($I$11:$P$11,I13:P13)+20%</f>
        <v>1</v>
      </c>
      <c r="S13" s="5"/>
      <c r="W13" s="4"/>
      <c r="X13" s="4"/>
    </row>
    <row r="14" spans="1:38" customFormat="1" ht="65.099999999999994" customHeight="1" x14ac:dyDescent="0.45">
      <c r="A14" s="27">
        <v>8055</v>
      </c>
      <c r="B14" s="28" t="str">
        <f t="shared" si="0"/>
        <v>On time</v>
      </c>
      <c r="C14" s="43" t="s">
        <v>1038</v>
      </c>
      <c r="D14" s="43" t="s">
        <v>963</v>
      </c>
      <c r="E14" s="45"/>
      <c r="F14" s="45"/>
      <c r="G14" s="45"/>
      <c r="H14" s="45"/>
      <c r="I14" s="49"/>
      <c r="J14" s="49"/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50">
        <f t="shared" si="1"/>
        <v>1</v>
      </c>
      <c r="R14" s="50">
        <f>SUMPRODUCT($I$11:$P$11,I14:P14)+20%</f>
        <v>1</v>
      </c>
      <c r="S14" s="5"/>
      <c r="W14" s="4"/>
      <c r="X14" s="4"/>
    </row>
    <row r="15" spans="1:38" customFormat="1" ht="65.099999999999994" customHeight="1" x14ac:dyDescent="0.45">
      <c r="A15" s="27">
        <v>8167</v>
      </c>
      <c r="B15" s="28" t="str">
        <f t="shared" si="0"/>
        <v>Inprogress</v>
      </c>
      <c r="C15" s="43" t="s">
        <v>995</v>
      </c>
      <c r="D15" s="42" t="s">
        <v>963</v>
      </c>
      <c r="E15" s="45" t="s">
        <v>996</v>
      </c>
      <c r="F15" s="45" t="s">
        <v>997</v>
      </c>
      <c r="G15" s="45" t="s">
        <v>996</v>
      </c>
      <c r="H15" s="45"/>
      <c r="I15" s="49">
        <v>1</v>
      </c>
      <c r="J15" s="49">
        <v>1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50">
        <f t="shared" si="1"/>
        <v>0</v>
      </c>
      <c r="R15" s="50">
        <f>SUMPRODUCT($I$11:$P$11,I15:P15)</f>
        <v>0.2</v>
      </c>
      <c r="S15" s="5"/>
      <c r="W15" s="4"/>
      <c r="X15" s="4"/>
    </row>
    <row r="16" spans="1:38" customFormat="1" ht="65.099999999999994" customHeight="1" x14ac:dyDescent="0.45">
      <c r="A16" s="27">
        <v>8166</v>
      </c>
      <c r="B16" s="28" t="str">
        <f t="shared" si="0"/>
        <v>Inprogress</v>
      </c>
      <c r="C16" s="43" t="s">
        <v>998</v>
      </c>
      <c r="D16" s="42" t="s">
        <v>963</v>
      </c>
      <c r="E16" s="45" t="s">
        <v>996</v>
      </c>
      <c r="F16" s="45" t="s">
        <v>997</v>
      </c>
      <c r="G16" s="45" t="s">
        <v>996</v>
      </c>
      <c r="H16" s="45"/>
      <c r="I16" s="49">
        <v>1</v>
      </c>
      <c r="J16" s="49">
        <v>1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50">
        <f t="shared" si="1"/>
        <v>0</v>
      </c>
      <c r="R16" s="50">
        <f>SUMPRODUCT($I$11:$P$11,I16:P16)</f>
        <v>0.2</v>
      </c>
      <c r="S16" s="5"/>
      <c r="W16" s="4"/>
      <c r="X16" s="4"/>
    </row>
    <row r="17" spans="1:24" customFormat="1" ht="65.099999999999994" customHeight="1" x14ac:dyDescent="0.45">
      <c r="A17" s="27">
        <v>8340</v>
      </c>
      <c r="B17" s="28" t="str">
        <f t="shared" si="0"/>
        <v>Inprogress</v>
      </c>
      <c r="C17" s="43" t="s">
        <v>988</v>
      </c>
      <c r="D17" s="61" t="s">
        <v>989</v>
      </c>
      <c r="E17" s="45"/>
      <c r="F17" s="45" t="s">
        <v>1013</v>
      </c>
      <c r="G17" s="45"/>
      <c r="H17" s="45"/>
      <c r="I17" s="49"/>
      <c r="J17" s="49"/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50">
        <f t="shared" si="1"/>
        <v>0</v>
      </c>
      <c r="R17" s="50">
        <f t="shared" ref="R17:R53" si="2">SUMPRODUCT($I$11:$P$11,I17:P17)</f>
        <v>0</v>
      </c>
      <c r="S17" s="5"/>
      <c r="W17" s="4"/>
      <c r="X17" s="4"/>
    </row>
    <row r="18" spans="1:24" customFormat="1" ht="64.5" customHeight="1" x14ac:dyDescent="0.45">
      <c r="A18" s="27">
        <v>8170</v>
      </c>
      <c r="B18" s="28" t="str">
        <f t="shared" si="0"/>
        <v>Inprogress</v>
      </c>
      <c r="C18" s="43" t="s">
        <v>1065</v>
      </c>
      <c r="D18" s="42" t="s">
        <v>963</v>
      </c>
      <c r="E18" s="45"/>
      <c r="F18" s="45"/>
      <c r="G18" s="45"/>
      <c r="H18" s="45"/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50">
        <f t="shared" si="1"/>
        <v>0</v>
      </c>
      <c r="R18" s="50">
        <f t="shared" si="2"/>
        <v>0</v>
      </c>
      <c r="W18" s="4"/>
      <c r="X18" s="4"/>
    </row>
    <row r="19" spans="1:24" customFormat="1" ht="65.099999999999994" customHeight="1" x14ac:dyDescent="0.45">
      <c r="A19" s="27">
        <v>8169</v>
      </c>
      <c r="B19" s="28" t="str">
        <f t="shared" si="0"/>
        <v>Inprogress</v>
      </c>
      <c r="C19" s="43" t="s">
        <v>993</v>
      </c>
      <c r="D19" s="42" t="s">
        <v>963</v>
      </c>
      <c r="E19" s="45"/>
      <c r="F19" s="45"/>
      <c r="G19" s="45"/>
      <c r="H19" s="45"/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50">
        <f t="shared" si="1"/>
        <v>0</v>
      </c>
      <c r="R19" s="50">
        <f t="shared" si="2"/>
        <v>0</v>
      </c>
      <c r="S19" s="5"/>
      <c r="W19" s="4"/>
      <c r="X19" s="4"/>
    </row>
    <row r="20" spans="1:24" s="30" customFormat="1" ht="65.099999999999994" customHeight="1" x14ac:dyDescent="0.45">
      <c r="A20" s="27">
        <v>8168</v>
      </c>
      <c r="B20" s="28" t="str">
        <f t="shared" si="0"/>
        <v>Inprogress</v>
      </c>
      <c r="C20" s="43" t="s">
        <v>994</v>
      </c>
      <c r="D20" s="42" t="s">
        <v>963</v>
      </c>
      <c r="E20" s="45"/>
      <c r="F20" s="45"/>
      <c r="G20" s="45"/>
      <c r="H20" s="45"/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50">
        <f t="shared" si="1"/>
        <v>0</v>
      </c>
      <c r="R20" s="50">
        <f t="shared" si="2"/>
        <v>0</v>
      </c>
      <c r="S20" s="29"/>
      <c r="W20" s="31"/>
      <c r="X20" s="31"/>
    </row>
    <row r="21" spans="1:24" customFormat="1" ht="65.099999999999994" customHeight="1" x14ac:dyDescent="0.45">
      <c r="A21" s="27">
        <v>8164</v>
      </c>
      <c r="B21" s="28" t="str">
        <f t="shared" si="0"/>
        <v>Inprogress</v>
      </c>
      <c r="C21" s="43" t="s">
        <v>1006</v>
      </c>
      <c r="D21" s="42" t="s">
        <v>963</v>
      </c>
      <c r="E21" s="45"/>
      <c r="F21" s="45"/>
      <c r="G21" s="45"/>
      <c r="H21" s="45"/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50">
        <f t="shared" ref="Q21:Q25" si="3">SUMPRODUCT($K$11:$P$11,K21:P21)/0.8</f>
        <v>0</v>
      </c>
      <c r="R21" s="50">
        <f t="shared" si="2"/>
        <v>0</v>
      </c>
      <c r="S21" s="5"/>
      <c r="W21" s="4"/>
      <c r="X21" s="4"/>
    </row>
    <row r="22" spans="1:24" customFormat="1" ht="65.099999999999994" customHeight="1" x14ac:dyDescent="0.45">
      <c r="A22" s="27">
        <v>8142</v>
      </c>
      <c r="B22" s="28" t="str">
        <f t="shared" si="0"/>
        <v>Inprogress</v>
      </c>
      <c r="C22" s="43" t="s">
        <v>999</v>
      </c>
      <c r="D22" s="42" t="s">
        <v>963</v>
      </c>
      <c r="E22" s="45"/>
      <c r="F22" s="45"/>
      <c r="G22" s="45"/>
      <c r="H22" s="45"/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50">
        <f t="shared" si="3"/>
        <v>0</v>
      </c>
      <c r="R22" s="50">
        <f t="shared" si="2"/>
        <v>0</v>
      </c>
      <c r="S22" s="5"/>
      <c r="W22" s="4"/>
      <c r="X22" s="4"/>
    </row>
    <row r="23" spans="1:24" customFormat="1" ht="65.099999999999994" customHeight="1" x14ac:dyDescent="0.45">
      <c r="A23" s="27">
        <v>8141</v>
      </c>
      <c r="B23" s="28" t="str">
        <f t="shared" si="0"/>
        <v>Inprogress</v>
      </c>
      <c r="C23" s="43" t="s">
        <v>1000</v>
      </c>
      <c r="D23" s="43" t="s">
        <v>989</v>
      </c>
      <c r="E23" s="45"/>
      <c r="F23" s="45"/>
      <c r="G23" s="45"/>
      <c r="H23" s="45"/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50">
        <f t="shared" si="3"/>
        <v>0</v>
      </c>
      <c r="R23" s="50">
        <f t="shared" si="2"/>
        <v>0</v>
      </c>
      <c r="S23" s="5"/>
      <c r="W23" s="4"/>
      <c r="X23" s="4"/>
    </row>
    <row r="24" spans="1:24" customFormat="1" ht="65.099999999999994" customHeight="1" x14ac:dyDescent="0.45">
      <c r="A24" s="27">
        <v>8140</v>
      </c>
      <c r="B24" s="28" t="str">
        <f t="shared" si="0"/>
        <v>Inprogress</v>
      </c>
      <c r="C24" s="43" t="s">
        <v>1001</v>
      </c>
      <c r="D24" s="42" t="s">
        <v>963</v>
      </c>
      <c r="E24" s="45"/>
      <c r="F24" s="45"/>
      <c r="G24" s="45"/>
      <c r="H24" s="45"/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50">
        <f t="shared" si="3"/>
        <v>0</v>
      </c>
      <c r="R24" s="50">
        <f t="shared" si="2"/>
        <v>0</v>
      </c>
      <c r="S24" s="5"/>
      <c r="W24" s="4"/>
      <c r="X24" s="4"/>
    </row>
    <row r="25" spans="1:24" customFormat="1" ht="65.099999999999994" customHeight="1" x14ac:dyDescent="0.45">
      <c r="A25" s="27">
        <v>8137</v>
      </c>
      <c r="B25" s="28" t="str">
        <f t="shared" si="0"/>
        <v>Inprogress</v>
      </c>
      <c r="C25" s="43" t="s">
        <v>1004</v>
      </c>
      <c r="D25" s="42" t="s">
        <v>963</v>
      </c>
      <c r="E25" s="45"/>
      <c r="F25" s="45"/>
      <c r="G25" s="45"/>
      <c r="H25" s="45"/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50">
        <f t="shared" si="3"/>
        <v>0</v>
      </c>
      <c r="R25" s="50">
        <f t="shared" si="2"/>
        <v>0</v>
      </c>
      <c r="S25" s="5"/>
      <c r="W25" s="4"/>
      <c r="X25" s="4"/>
    </row>
    <row r="26" spans="1:24" customFormat="1" ht="65.099999999999994" customHeight="1" x14ac:dyDescent="0.45">
      <c r="A26" s="27">
        <v>7866</v>
      </c>
      <c r="B26" s="28" t="str">
        <f t="shared" si="0"/>
        <v>Inprogress</v>
      </c>
      <c r="C26" s="43" t="s">
        <v>1018</v>
      </c>
      <c r="D26" s="42" t="s">
        <v>963</v>
      </c>
      <c r="E26" s="45"/>
      <c r="F26" s="45"/>
      <c r="G26" s="45"/>
      <c r="H26" s="45"/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50">
        <f>SUMPRODUCT($K$11:$P$11,K26:P26)/0.8</f>
        <v>0</v>
      </c>
      <c r="R26" s="50">
        <f t="shared" si="2"/>
        <v>0</v>
      </c>
      <c r="S26" s="5"/>
      <c r="W26" s="4"/>
      <c r="X26" s="4"/>
    </row>
    <row r="27" spans="1:24" customFormat="1" ht="64.5" customHeight="1" x14ac:dyDescent="0.45">
      <c r="A27" s="27">
        <v>7864</v>
      </c>
      <c r="B27" s="28" t="str">
        <f t="shared" si="0"/>
        <v>Inprogress</v>
      </c>
      <c r="C27" s="43" t="s">
        <v>1020</v>
      </c>
      <c r="D27" s="42" t="s">
        <v>963</v>
      </c>
      <c r="E27" s="45"/>
      <c r="F27" s="45"/>
      <c r="G27" s="45"/>
      <c r="H27" s="45"/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50">
        <f>SUMPRODUCT($K$11:$P$11,K27:P27)/0.8</f>
        <v>0</v>
      </c>
      <c r="R27" s="50">
        <f t="shared" si="2"/>
        <v>0</v>
      </c>
      <c r="S27" s="5"/>
      <c r="W27" s="4"/>
      <c r="X27" s="4"/>
    </row>
    <row r="28" spans="1:24" customFormat="1" ht="65.099999999999994" customHeight="1" x14ac:dyDescent="0.45">
      <c r="A28" s="27">
        <v>7862</v>
      </c>
      <c r="B28" s="28" t="str">
        <f t="shared" si="0"/>
        <v>Inprogress</v>
      </c>
      <c r="C28" s="43" t="s">
        <v>1021</v>
      </c>
      <c r="D28" s="42" t="s">
        <v>963</v>
      </c>
      <c r="E28" s="45" t="s">
        <v>996</v>
      </c>
      <c r="F28" s="45" t="s">
        <v>997</v>
      </c>
      <c r="G28" s="45" t="s">
        <v>996</v>
      </c>
      <c r="H28" s="45"/>
      <c r="I28" s="49">
        <v>1</v>
      </c>
      <c r="J28" s="49">
        <v>1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50">
        <f>SUMPRODUCT($K$11:$P$11,K28:P28)/0.8</f>
        <v>0</v>
      </c>
      <c r="R28" s="50">
        <f t="shared" si="2"/>
        <v>0.2</v>
      </c>
      <c r="W28" s="4"/>
      <c r="X28" s="4"/>
    </row>
    <row r="29" spans="1:24" customFormat="1" ht="65.099999999999994" customHeight="1" x14ac:dyDescent="0.45">
      <c r="A29" s="27">
        <v>7853</v>
      </c>
      <c r="B29" s="28" t="str">
        <f t="shared" si="0"/>
        <v>Inprogress</v>
      </c>
      <c r="C29" s="43" t="s">
        <v>1027</v>
      </c>
      <c r="D29" s="43" t="s">
        <v>963</v>
      </c>
      <c r="E29" s="45"/>
      <c r="F29" s="45"/>
      <c r="G29" s="45"/>
      <c r="H29" s="45"/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50">
        <f t="shared" si="1"/>
        <v>0</v>
      </c>
      <c r="R29" s="50">
        <f t="shared" si="2"/>
        <v>0</v>
      </c>
      <c r="S29" s="5"/>
      <c r="W29" s="4"/>
      <c r="X29" s="4"/>
    </row>
    <row r="30" spans="1:24" customFormat="1" ht="65.099999999999994" customHeight="1" x14ac:dyDescent="0.45">
      <c r="A30" s="27">
        <v>7852</v>
      </c>
      <c r="B30" s="28" t="str">
        <f t="shared" si="0"/>
        <v>Inprogress</v>
      </c>
      <c r="C30" s="43" t="s">
        <v>1028</v>
      </c>
      <c r="D30" s="43" t="s">
        <v>963</v>
      </c>
      <c r="E30" s="45"/>
      <c r="F30" s="45"/>
      <c r="G30" s="45"/>
      <c r="H30" s="45"/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50">
        <f t="shared" si="1"/>
        <v>0</v>
      </c>
      <c r="R30" s="50">
        <f t="shared" si="2"/>
        <v>0</v>
      </c>
      <c r="S30" s="5"/>
      <c r="W30" s="4"/>
      <c r="X30" s="4"/>
    </row>
    <row r="31" spans="1:24" customFormat="1" ht="65.099999999999994" customHeight="1" x14ac:dyDescent="0.45">
      <c r="A31" s="27">
        <v>7851</v>
      </c>
      <c r="B31" s="28" t="str">
        <f t="shared" si="0"/>
        <v>Inprogress</v>
      </c>
      <c r="C31" s="43" t="s">
        <v>1029</v>
      </c>
      <c r="D31" s="43" t="s">
        <v>989</v>
      </c>
      <c r="E31" s="45"/>
      <c r="F31" s="45"/>
      <c r="G31" s="45"/>
      <c r="H31" s="45"/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50">
        <f t="shared" si="1"/>
        <v>0</v>
      </c>
      <c r="R31" s="50">
        <f t="shared" si="2"/>
        <v>0</v>
      </c>
      <c r="S31" s="5"/>
      <c r="W31" s="4"/>
      <c r="X31" s="4"/>
    </row>
    <row r="32" spans="1:24" customFormat="1" ht="65.099999999999994" customHeight="1" x14ac:dyDescent="0.45">
      <c r="A32" s="27">
        <v>7848</v>
      </c>
      <c r="B32" s="28" t="str">
        <f t="shared" si="0"/>
        <v>Inprogress</v>
      </c>
      <c r="C32" s="43" t="s">
        <v>1030</v>
      </c>
      <c r="D32" s="43" t="s">
        <v>963</v>
      </c>
      <c r="E32" s="45"/>
      <c r="F32" s="45"/>
      <c r="G32" s="45"/>
      <c r="H32" s="45"/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50">
        <f t="shared" si="1"/>
        <v>0</v>
      </c>
      <c r="R32" s="50">
        <f t="shared" si="2"/>
        <v>0</v>
      </c>
      <c r="S32" s="5"/>
      <c r="W32" s="4"/>
      <c r="X32" s="4"/>
    </row>
    <row r="33" spans="1:24" customFormat="1" ht="65.099999999999994" customHeight="1" x14ac:dyDescent="0.45">
      <c r="A33" s="27">
        <v>7846</v>
      </c>
      <c r="B33" s="28" t="str">
        <f t="shared" si="0"/>
        <v>Inprogress</v>
      </c>
      <c r="C33" s="43" t="s">
        <v>1032</v>
      </c>
      <c r="D33" s="43" t="s">
        <v>963</v>
      </c>
      <c r="E33" s="45"/>
      <c r="F33" s="45"/>
      <c r="G33" s="45"/>
      <c r="H33" s="45"/>
      <c r="I33" s="49">
        <v>0</v>
      </c>
      <c r="J33" s="49">
        <v>0</v>
      </c>
      <c r="K33" s="49">
        <v>0</v>
      </c>
      <c r="L33" s="49">
        <v>0</v>
      </c>
      <c r="M33" s="49">
        <v>0</v>
      </c>
      <c r="N33" s="49">
        <v>0</v>
      </c>
      <c r="O33" s="49">
        <v>0</v>
      </c>
      <c r="P33" s="49">
        <v>0</v>
      </c>
      <c r="Q33" s="50">
        <f t="shared" si="1"/>
        <v>0</v>
      </c>
      <c r="R33" s="50">
        <f t="shared" si="2"/>
        <v>0</v>
      </c>
      <c r="S33" s="5"/>
      <c r="W33" s="4"/>
      <c r="X33" s="4"/>
    </row>
    <row r="34" spans="1:24" customFormat="1" ht="65.099999999999994" customHeight="1" x14ac:dyDescent="0.45">
      <c r="A34" s="27">
        <v>8061</v>
      </c>
      <c r="B34" s="28" t="str">
        <f t="shared" si="0"/>
        <v>Inprogress</v>
      </c>
      <c r="C34" s="43" t="s">
        <v>1034</v>
      </c>
      <c r="D34" s="43" t="s">
        <v>989</v>
      </c>
      <c r="E34" s="45"/>
      <c r="F34" s="45" t="s">
        <v>951</v>
      </c>
      <c r="G34" s="45"/>
      <c r="H34" s="45"/>
      <c r="I34" s="49"/>
      <c r="J34" s="49"/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50">
        <f t="shared" si="1"/>
        <v>0</v>
      </c>
      <c r="R34" s="50">
        <f t="shared" si="2"/>
        <v>0</v>
      </c>
      <c r="S34" s="5"/>
      <c r="W34" s="4"/>
      <c r="X34" s="4"/>
    </row>
    <row r="35" spans="1:24" customFormat="1" ht="65.099999999999994" customHeight="1" x14ac:dyDescent="0.45">
      <c r="A35" s="27">
        <v>8060</v>
      </c>
      <c r="B35" s="28" t="str">
        <f t="shared" si="0"/>
        <v>Inprogress</v>
      </c>
      <c r="C35" s="43" t="s">
        <v>1035</v>
      </c>
      <c r="D35" s="43" t="s">
        <v>989</v>
      </c>
      <c r="E35" s="45"/>
      <c r="F35" s="45"/>
      <c r="G35" s="45"/>
      <c r="H35" s="45"/>
      <c r="I35" s="49"/>
      <c r="J35" s="49">
        <v>0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50">
        <f t="shared" si="1"/>
        <v>0</v>
      </c>
      <c r="R35" s="50">
        <f t="shared" si="2"/>
        <v>0</v>
      </c>
      <c r="S35" s="5"/>
      <c r="W35" s="4"/>
      <c r="X35" s="4"/>
    </row>
    <row r="36" spans="1:24" customFormat="1" ht="65.099999999999994" customHeight="1" x14ac:dyDescent="0.45">
      <c r="A36" s="27">
        <v>8058</v>
      </c>
      <c r="B36" s="28" t="str">
        <f t="shared" si="0"/>
        <v>Inprogress</v>
      </c>
      <c r="C36" s="43" t="s">
        <v>1036</v>
      </c>
      <c r="D36" s="43" t="s">
        <v>963</v>
      </c>
      <c r="E36" s="45"/>
      <c r="F36" s="45"/>
      <c r="G36" s="45"/>
      <c r="H36" s="45"/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50">
        <f t="shared" si="1"/>
        <v>0</v>
      </c>
      <c r="R36" s="50">
        <f t="shared" si="2"/>
        <v>0</v>
      </c>
      <c r="S36" s="5"/>
      <c r="W36" s="4"/>
      <c r="X36" s="4"/>
    </row>
    <row r="37" spans="1:24" customFormat="1" ht="65.099999999999994" customHeight="1" x14ac:dyDescent="0.45">
      <c r="A37" s="27">
        <v>8048</v>
      </c>
      <c r="B37" s="28" t="str">
        <f t="shared" si="0"/>
        <v>Inprogress</v>
      </c>
      <c r="C37" s="43" t="s">
        <v>1060</v>
      </c>
      <c r="D37" s="43" t="s">
        <v>963</v>
      </c>
      <c r="E37" s="45"/>
      <c r="F37" s="45"/>
      <c r="G37" s="45" t="s">
        <v>1062</v>
      </c>
      <c r="H37" s="45"/>
      <c r="I37" s="49">
        <v>1</v>
      </c>
      <c r="J37" s="49">
        <v>1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50"/>
      <c r="R37" s="50"/>
      <c r="S37" s="5"/>
      <c r="W37" s="4"/>
      <c r="X37" s="4"/>
    </row>
    <row r="38" spans="1:24" customFormat="1" ht="65.099999999999994" customHeight="1" x14ac:dyDescent="0.45">
      <c r="A38" s="27">
        <v>8047</v>
      </c>
      <c r="B38" s="28" t="str">
        <f t="shared" si="0"/>
        <v>Inprogress</v>
      </c>
      <c r="C38" s="43" t="s">
        <v>1058</v>
      </c>
      <c r="D38" s="43" t="s">
        <v>963</v>
      </c>
      <c r="E38" s="45"/>
      <c r="F38" s="45"/>
      <c r="G38" s="45"/>
      <c r="H38" s="45"/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50"/>
      <c r="R38" s="50"/>
      <c r="S38" s="5"/>
      <c r="W38" s="4"/>
      <c r="X38" s="4"/>
    </row>
    <row r="39" spans="1:24" customFormat="1" ht="65.099999999999994" customHeight="1" x14ac:dyDescent="0.45">
      <c r="A39" s="27">
        <v>8046</v>
      </c>
      <c r="B39" s="28" t="str">
        <f t="shared" si="0"/>
        <v>Inprogress</v>
      </c>
      <c r="C39" s="43" t="s">
        <v>1059</v>
      </c>
      <c r="D39" s="43" t="s">
        <v>963</v>
      </c>
      <c r="E39" s="45"/>
      <c r="F39" s="45"/>
      <c r="G39" s="45"/>
      <c r="H39" s="45"/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50"/>
      <c r="R39" s="50"/>
      <c r="S39" s="5"/>
      <c r="W39" s="4"/>
      <c r="X39" s="4"/>
    </row>
    <row r="40" spans="1:24" customFormat="1" ht="65.099999999999994" customHeight="1" x14ac:dyDescent="0.45">
      <c r="A40" s="27">
        <v>8045</v>
      </c>
      <c r="B40" s="28" t="str">
        <f t="shared" si="0"/>
        <v>Inprogress</v>
      </c>
      <c r="C40" s="43" t="s">
        <v>1066</v>
      </c>
      <c r="D40" s="43" t="s">
        <v>963</v>
      </c>
      <c r="E40" s="45"/>
      <c r="F40" s="45"/>
      <c r="G40" s="45"/>
      <c r="H40" s="45"/>
      <c r="I40" s="49">
        <v>0</v>
      </c>
      <c r="J40" s="49">
        <v>0</v>
      </c>
      <c r="K40" s="49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50"/>
      <c r="R40" s="50"/>
      <c r="S40" s="5"/>
      <c r="W40" s="4"/>
      <c r="X40" s="4"/>
    </row>
    <row r="41" spans="1:24" customFormat="1" ht="65.099999999999994" customHeight="1" x14ac:dyDescent="0.45">
      <c r="A41" s="27">
        <v>8044</v>
      </c>
      <c r="B41" s="28" t="str">
        <f t="shared" si="0"/>
        <v>Inprogress</v>
      </c>
      <c r="C41" s="43" t="s">
        <v>1056</v>
      </c>
      <c r="D41" s="43" t="s">
        <v>963</v>
      </c>
      <c r="E41" s="45" t="s">
        <v>955</v>
      </c>
      <c r="F41" s="45" t="s">
        <v>952</v>
      </c>
      <c r="G41" s="45" t="s">
        <v>955</v>
      </c>
      <c r="H41" s="45"/>
      <c r="I41" s="49">
        <v>1</v>
      </c>
      <c r="J41" s="49">
        <v>1</v>
      </c>
      <c r="K41" s="49">
        <v>1</v>
      </c>
      <c r="L41" s="49">
        <v>1</v>
      </c>
      <c r="M41" s="49">
        <v>1</v>
      </c>
      <c r="N41" s="49">
        <v>1</v>
      </c>
      <c r="O41" s="49">
        <v>1</v>
      </c>
      <c r="P41" s="49">
        <v>1</v>
      </c>
      <c r="Q41" s="50"/>
      <c r="R41" s="50"/>
      <c r="S41" s="5"/>
      <c r="W41" s="4"/>
      <c r="X41" s="4"/>
    </row>
    <row r="42" spans="1:24" customFormat="1" ht="65.099999999999994" customHeight="1" x14ac:dyDescent="0.45">
      <c r="A42" s="27">
        <v>7890</v>
      </c>
      <c r="B42" s="28" t="str">
        <f t="shared" si="0"/>
        <v>Inprogress</v>
      </c>
      <c r="C42" s="43" t="s">
        <v>1040</v>
      </c>
      <c r="D42" s="43" t="s">
        <v>963</v>
      </c>
      <c r="E42" s="45"/>
      <c r="F42" s="45"/>
      <c r="G42" s="45"/>
      <c r="H42" s="45"/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50"/>
      <c r="R42" s="50"/>
      <c r="S42" s="5"/>
      <c r="W42" s="4"/>
      <c r="X42" s="4"/>
    </row>
    <row r="43" spans="1:24" customFormat="1" ht="65.099999999999994" customHeight="1" x14ac:dyDescent="0.45">
      <c r="A43" s="27">
        <v>7889</v>
      </c>
      <c r="B43" s="28" t="str">
        <f t="shared" si="0"/>
        <v>Inprogress</v>
      </c>
      <c r="C43" s="43" t="s">
        <v>1041</v>
      </c>
      <c r="D43" s="43" t="s">
        <v>963</v>
      </c>
      <c r="E43" s="45"/>
      <c r="F43" s="22"/>
      <c r="G43" s="45"/>
      <c r="H43" s="45"/>
      <c r="I43" s="49">
        <v>0</v>
      </c>
      <c r="J43" s="49">
        <v>0</v>
      </c>
      <c r="K43" s="49">
        <v>0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50"/>
      <c r="R43" s="50"/>
      <c r="S43" s="5"/>
      <c r="W43" s="4"/>
      <c r="X43" s="4"/>
    </row>
    <row r="44" spans="1:24" customFormat="1" ht="65.099999999999994" customHeight="1" x14ac:dyDescent="0.45">
      <c r="A44" s="27">
        <v>7888</v>
      </c>
      <c r="B44" s="28" t="str">
        <f t="shared" si="0"/>
        <v>Inprogress</v>
      </c>
      <c r="C44" s="43" t="s">
        <v>1042</v>
      </c>
      <c r="D44" s="43" t="s">
        <v>963</v>
      </c>
      <c r="E44" s="45" t="s">
        <v>1064</v>
      </c>
      <c r="F44" s="45" t="s">
        <v>1064</v>
      </c>
      <c r="G44" s="45" t="s">
        <v>1063</v>
      </c>
      <c r="H44" s="45" t="s">
        <v>1064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50"/>
      <c r="R44" s="50"/>
      <c r="S44" s="5"/>
      <c r="W44" s="4"/>
      <c r="X44" s="4"/>
    </row>
    <row r="45" spans="1:24" customFormat="1" ht="65.099999999999994" customHeight="1" x14ac:dyDescent="0.45">
      <c r="A45" s="27">
        <v>7887</v>
      </c>
      <c r="B45" s="28" t="str">
        <f t="shared" si="0"/>
        <v>Inprogress</v>
      </c>
      <c r="C45" s="43" t="s">
        <v>1043</v>
      </c>
      <c r="D45" s="43" t="s">
        <v>989</v>
      </c>
      <c r="E45" s="45"/>
      <c r="F45" s="45"/>
      <c r="G45" s="45"/>
      <c r="H45" s="45"/>
      <c r="I45" s="49"/>
      <c r="J45" s="49"/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50"/>
      <c r="R45" s="50"/>
      <c r="S45" s="5"/>
      <c r="W45" s="4"/>
      <c r="X45" s="4"/>
    </row>
    <row r="46" spans="1:24" customFormat="1" ht="65.099999999999994" customHeight="1" x14ac:dyDescent="0.45">
      <c r="A46" s="27">
        <v>7886</v>
      </c>
      <c r="B46" s="28" t="str">
        <f t="shared" si="0"/>
        <v>Inprogress</v>
      </c>
      <c r="C46" s="43" t="s">
        <v>1044</v>
      </c>
      <c r="D46" s="43" t="s">
        <v>963</v>
      </c>
      <c r="E46" s="45"/>
      <c r="F46" s="45"/>
      <c r="G46" s="45"/>
      <c r="H46" s="45"/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50"/>
      <c r="R46" s="50"/>
      <c r="S46" s="5"/>
      <c r="W46" s="4"/>
      <c r="X46" s="4"/>
    </row>
    <row r="47" spans="1:24" customFormat="1" ht="65.099999999999994" customHeight="1" x14ac:dyDescent="0.45">
      <c r="A47" s="27">
        <v>7885</v>
      </c>
      <c r="B47" s="28" t="str">
        <f t="shared" si="0"/>
        <v>Inprogress</v>
      </c>
      <c r="C47" s="43" t="s">
        <v>1045</v>
      </c>
      <c r="D47" s="43" t="s">
        <v>963</v>
      </c>
      <c r="E47" s="45"/>
      <c r="F47" s="45"/>
      <c r="G47" s="45"/>
      <c r="H47" s="45"/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50"/>
      <c r="R47" s="50"/>
      <c r="S47" s="5"/>
      <c r="W47" s="4"/>
      <c r="X47" s="4"/>
    </row>
    <row r="48" spans="1:24" customFormat="1" ht="65.099999999999994" customHeight="1" x14ac:dyDescent="0.45">
      <c r="A48" s="27">
        <v>8189</v>
      </c>
      <c r="B48" s="28" t="str">
        <f t="shared" si="0"/>
        <v>Inprogress</v>
      </c>
      <c r="C48" s="43" t="s">
        <v>1049</v>
      </c>
      <c r="D48" s="43" t="s">
        <v>963</v>
      </c>
      <c r="E48" s="45"/>
      <c r="F48" s="45"/>
      <c r="G48" s="45"/>
      <c r="H48" s="45"/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50"/>
      <c r="R48" s="50"/>
      <c r="S48" s="5"/>
      <c r="W48" s="4"/>
      <c r="X48" s="4"/>
    </row>
    <row r="49" spans="1:24" customFormat="1" ht="65.099999999999994" customHeight="1" x14ac:dyDescent="0.45">
      <c r="A49" s="27">
        <v>8188</v>
      </c>
      <c r="B49" s="28" t="str">
        <f t="shared" si="0"/>
        <v>Inprogress</v>
      </c>
      <c r="C49" s="43" t="s">
        <v>1050</v>
      </c>
      <c r="D49" s="43" t="s">
        <v>963</v>
      </c>
      <c r="E49" s="45"/>
      <c r="F49" s="45"/>
      <c r="G49" s="45"/>
      <c r="H49" s="45"/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50"/>
      <c r="R49" s="50"/>
      <c r="S49" s="5"/>
      <c r="W49" s="4"/>
      <c r="X49" s="4"/>
    </row>
    <row r="50" spans="1:24" customFormat="1" ht="65.099999999999994" customHeight="1" x14ac:dyDescent="0.45">
      <c r="A50" s="27">
        <v>8187</v>
      </c>
      <c r="B50" s="28" t="str">
        <f t="shared" si="0"/>
        <v>Inprogress</v>
      </c>
      <c r="C50" s="43" t="s">
        <v>1051</v>
      </c>
      <c r="D50" s="43" t="s">
        <v>963</v>
      </c>
      <c r="E50" s="45"/>
      <c r="F50" s="45"/>
      <c r="G50" s="45"/>
      <c r="H50" s="45"/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50"/>
      <c r="R50" s="50"/>
      <c r="S50" s="5"/>
      <c r="W50" s="4"/>
      <c r="X50" s="4"/>
    </row>
    <row r="51" spans="1:24" customFormat="1" ht="65.099999999999994" customHeight="1" x14ac:dyDescent="0.45">
      <c r="A51" s="27">
        <v>8186</v>
      </c>
      <c r="B51" s="28" t="str">
        <f t="shared" si="0"/>
        <v>Inprogress</v>
      </c>
      <c r="C51" s="43" t="s">
        <v>1052</v>
      </c>
      <c r="D51" s="43" t="s">
        <v>963</v>
      </c>
      <c r="E51" s="45"/>
      <c r="F51" s="45"/>
      <c r="G51" s="45"/>
      <c r="H51" s="45"/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  <c r="Q51" s="50"/>
      <c r="R51" s="50"/>
      <c r="S51" s="5"/>
      <c r="W51" s="4"/>
      <c r="X51" s="4"/>
    </row>
    <row r="52" spans="1:24" customFormat="1" ht="65.099999999999994" customHeight="1" x14ac:dyDescent="0.45">
      <c r="A52" s="27">
        <v>8185</v>
      </c>
      <c r="B52" s="28" t="str">
        <f t="shared" si="0"/>
        <v>Inprogress</v>
      </c>
      <c r="C52" s="43" t="s">
        <v>1053</v>
      </c>
      <c r="D52" s="43" t="s">
        <v>963</v>
      </c>
      <c r="E52" s="45"/>
      <c r="F52" s="45"/>
      <c r="G52" s="45"/>
      <c r="H52" s="45"/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50"/>
      <c r="R52" s="50"/>
      <c r="S52" s="5"/>
      <c r="W52" s="4"/>
      <c r="X52" s="4"/>
    </row>
    <row r="53" spans="1:24" customFormat="1" ht="65.099999999999994" customHeight="1" x14ac:dyDescent="0.45">
      <c r="A53" s="27">
        <v>8184</v>
      </c>
      <c r="B53" s="28" t="str">
        <f t="shared" si="0"/>
        <v>Inprogress</v>
      </c>
      <c r="C53" s="43" t="s">
        <v>1054</v>
      </c>
      <c r="D53" s="43" t="s">
        <v>963</v>
      </c>
      <c r="E53" s="45"/>
      <c r="F53" s="45"/>
      <c r="G53" s="45"/>
      <c r="H53" s="45"/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50">
        <f t="shared" si="1"/>
        <v>0</v>
      </c>
      <c r="R53" s="50">
        <f t="shared" si="2"/>
        <v>0</v>
      </c>
      <c r="S53" s="5"/>
      <c r="W53" s="4"/>
      <c r="X53" s="4"/>
    </row>
    <row r="54" spans="1:24" x14ac:dyDescent="0.45">
      <c r="F54" s="23"/>
      <c r="G54" s="23"/>
    </row>
    <row r="55" spans="1:24" x14ac:dyDescent="0.45">
      <c r="F55" s="23"/>
      <c r="G55" s="23"/>
    </row>
    <row r="56" spans="1:24" x14ac:dyDescent="0.45">
      <c r="F56" s="23"/>
      <c r="G56" s="23"/>
    </row>
    <row r="57" spans="1:24" x14ac:dyDescent="0.45">
      <c r="F57" s="23"/>
      <c r="G57" s="23"/>
    </row>
    <row r="58" spans="1:24" x14ac:dyDescent="0.45">
      <c r="F58" s="23"/>
      <c r="G58" s="23"/>
    </row>
    <row r="59" spans="1:24" x14ac:dyDescent="0.45">
      <c r="F59" s="23"/>
      <c r="G59" s="23"/>
    </row>
    <row r="60" spans="1:24" x14ac:dyDescent="0.45">
      <c r="F60" s="23"/>
      <c r="G60" s="23"/>
    </row>
    <row r="61" spans="1:24" x14ac:dyDescent="0.45">
      <c r="F61" s="23"/>
      <c r="G61" s="23"/>
    </row>
    <row r="62" spans="1:24" x14ac:dyDescent="0.45">
      <c r="F62" s="23"/>
      <c r="G62" s="23"/>
    </row>
    <row r="63" spans="1:24" x14ac:dyDescent="0.45">
      <c r="F63" s="23"/>
      <c r="G63" s="23"/>
    </row>
    <row r="64" spans="1:24" x14ac:dyDescent="0.45">
      <c r="F64" s="23"/>
      <c r="G64" s="23"/>
    </row>
    <row r="65" spans="1:38" s="25" customFormat="1" x14ac:dyDescent="0.45">
      <c r="A65" s="18"/>
      <c r="B65" s="19"/>
      <c r="C65" s="20"/>
      <c r="D65" s="20"/>
      <c r="E65" s="22"/>
      <c r="F65" s="23"/>
      <c r="G65" s="23"/>
      <c r="H65" s="22"/>
      <c r="K65" s="26"/>
      <c r="L65" s="26"/>
      <c r="M65" s="26"/>
      <c r="N65" s="26"/>
      <c r="O65" s="26"/>
      <c r="P65" s="26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s="25" customFormat="1" x14ac:dyDescent="0.45">
      <c r="A66" s="18"/>
      <c r="B66" s="19"/>
      <c r="C66" s="20"/>
      <c r="D66" s="20"/>
      <c r="E66" s="22"/>
      <c r="F66" s="23"/>
      <c r="G66" s="23"/>
      <c r="H66" s="22"/>
      <c r="K66" s="26"/>
      <c r="L66" s="26"/>
      <c r="M66" s="26"/>
      <c r="N66" s="26"/>
      <c r="O66" s="26"/>
      <c r="P66" s="26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s="25" customFormat="1" x14ac:dyDescent="0.45">
      <c r="A67" s="18"/>
      <c r="B67" s="19"/>
      <c r="C67" s="20"/>
      <c r="D67" s="20"/>
      <c r="E67" s="22"/>
      <c r="F67" s="23"/>
      <c r="G67" s="23"/>
      <c r="H67" s="22"/>
      <c r="K67" s="26"/>
      <c r="L67" s="26"/>
      <c r="M67" s="26"/>
      <c r="N67" s="26"/>
      <c r="O67" s="26"/>
      <c r="P67" s="26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1:38" s="25" customFormat="1" x14ac:dyDescent="0.45">
      <c r="A68" s="18"/>
      <c r="B68" s="19"/>
      <c r="C68" s="20"/>
      <c r="D68" s="20"/>
      <c r="E68" s="22"/>
      <c r="F68" s="23"/>
      <c r="G68" s="23"/>
      <c r="H68" s="22"/>
      <c r="K68" s="26"/>
      <c r="L68" s="26"/>
      <c r="M68" s="26"/>
      <c r="N68" s="26"/>
      <c r="O68" s="26"/>
      <c r="P68" s="26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1:38" s="25" customFormat="1" x14ac:dyDescent="0.45">
      <c r="A69" s="18"/>
      <c r="B69" s="19"/>
      <c r="C69" s="20"/>
      <c r="D69" s="20"/>
      <c r="E69" s="22"/>
      <c r="F69" s="23"/>
      <c r="G69" s="23"/>
      <c r="H69" s="22"/>
      <c r="K69" s="26"/>
      <c r="L69" s="26"/>
      <c r="M69" s="26"/>
      <c r="N69" s="26"/>
      <c r="O69" s="26"/>
      <c r="P69" s="26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1:38" s="25" customFormat="1" x14ac:dyDescent="0.45">
      <c r="A70" s="18"/>
      <c r="B70" s="19"/>
      <c r="C70" s="20"/>
      <c r="D70" s="20"/>
      <c r="E70" s="22"/>
      <c r="F70" s="23"/>
      <c r="G70" s="23"/>
      <c r="H70" s="22"/>
      <c r="K70" s="26"/>
      <c r="L70" s="26"/>
      <c r="M70" s="26"/>
      <c r="N70" s="26"/>
      <c r="O70" s="26"/>
      <c r="P70" s="26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 spans="1:38" s="25" customFormat="1" x14ac:dyDescent="0.45">
      <c r="A71" s="18"/>
      <c r="B71" s="19"/>
      <c r="C71" s="20"/>
      <c r="D71" s="20"/>
      <c r="E71" s="22"/>
      <c r="F71" s="23"/>
      <c r="G71" s="23"/>
      <c r="H71" s="22"/>
      <c r="K71" s="26"/>
      <c r="L71" s="26"/>
      <c r="M71" s="26"/>
      <c r="N71" s="26"/>
      <c r="O71" s="26"/>
      <c r="P71" s="26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 spans="1:38" s="25" customFormat="1" x14ac:dyDescent="0.45">
      <c r="A72" s="18"/>
      <c r="B72" s="19"/>
      <c r="C72" s="20"/>
      <c r="D72" s="20"/>
      <c r="E72" s="22"/>
      <c r="F72" s="23"/>
      <c r="G72" s="23"/>
      <c r="H72" s="22"/>
      <c r="K72" s="26"/>
      <c r="L72" s="26"/>
      <c r="M72" s="26"/>
      <c r="N72" s="26"/>
      <c r="O72" s="26"/>
      <c r="P72" s="26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 spans="1:38" s="25" customFormat="1" x14ac:dyDescent="0.45">
      <c r="A73" s="18"/>
      <c r="B73" s="19"/>
      <c r="C73" s="20"/>
      <c r="D73" s="20"/>
      <c r="E73" s="22"/>
      <c r="F73" s="23"/>
      <c r="G73" s="23"/>
      <c r="H73" s="22"/>
      <c r="K73" s="26"/>
      <c r="L73" s="26"/>
      <c r="M73" s="26"/>
      <c r="N73" s="26"/>
      <c r="O73" s="26"/>
      <c r="P73" s="26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8" s="25" customFormat="1" x14ac:dyDescent="0.45">
      <c r="A74" s="18"/>
      <c r="B74" s="19"/>
      <c r="C74" s="20"/>
      <c r="D74" s="20"/>
      <c r="E74" s="22" t="s">
        <v>925</v>
      </c>
      <c r="F74" s="23" t="s">
        <v>930</v>
      </c>
      <c r="G74" s="23" t="e">
        <f ca="1">[1]!s2m(E74)</f>
        <v>#NAME?</v>
      </c>
      <c r="H74" s="22" t="e">
        <f ca="1">[1]!s2m(F74)</f>
        <v>#NAME?</v>
      </c>
      <c r="I74" s="40" t="e">
        <f t="shared" ref="I74:I90" ca="1" si="4">H74-TODAY()</f>
        <v>#NAME?</v>
      </c>
      <c r="K74" s="26"/>
      <c r="L74" s="26"/>
      <c r="M74" s="26"/>
      <c r="N74" s="26"/>
      <c r="O74" s="26"/>
      <c r="P74" s="26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38" s="25" customFormat="1" x14ac:dyDescent="0.45">
      <c r="A75" s="18"/>
      <c r="B75" s="19"/>
      <c r="C75" s="20"/>
      <c r="D75" s="20"/>
      <c r="E75" s="22" t="s">
        <v>925</v>
      </c>
      <c r="F75" s="22" t="s">
        <v>930</v>
      </c>
      <c r="G75" s="23" t="e">
        <f ca="1">[1]!s2m(E75)</f>
        <v>#NAME?</v>
      </c>
      <c r="H75" s="22" t="e">
        <f ca="1">[1]!s2m(F75)</f>
        <v>#NAME?</v>
      </c>
      <c r="I75" s="40" t="e">
        <f t="shared" ca="1" si="4"/>
        <v>#NAME?</v>
      </c>
      <c r="K75" s="26"/>
      <c r="L75" s="26"/>
      <c r="M75" s="26"/>
      <c r="N75" s="26"/>
      <c r="O75" s="26"/>
      <c r="P75" s="26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 s="25" customFormat="1" x14ac:dyDescent="0.45">
      <c r="A76" s="18"/>
      <c r="B76" s="19"/>
      <c r="C76" s="20"/>
      <c r="D76" s="20"/>
      <c r="E76" s="22" t="s">
        <v>926</v>
      </c>
      <c r="F76" s="22" t="s">
        <v>931</v>
      </c>
      <c r="G76" s="23" t="e">
        <f ca="1">[1]!s2m(E76)</f>
        <v>#NAME?</v>
      </c>
      <c r="H76" s="22" t="e">
        <f ca="1">[1]!s2m(F76)</f>
        <v>#NAME?</v>
      </c>
      <c r="I76" s="40" t="e">
        <f t="shared" ca="1" si="4"/>
        <v>#NAME?</v>
      </c>
      <c r="K76" s="26"/>
      <c r="L76" s="26"/>
      <c r="M76" s="26"/>
      <c r="N76" s="26"/>
      <c r="O76" s="26"/>
      <c r="P76" s="26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 s="25" customFormat="1" x14ac:dyDescent="0.45">
      <c r="A77" s="18"/>
      <c r="B77" s="19"/>
      <c r="C77" s="20"/>
      <c r="D77" s="20"/>
      <c r="E77" s="22" t="s">
        <v>924</v>
      </c>
      <c r="F77" s="22" t="s">
        <v>932</v>
      </c>
      <c r="G77" s="23" t="e">
        <f ca="1">[1]!s2m(E77)</f>
        <v>#NAME?</v>
      </c>
      <c r="H77" s="22" t="e">
        <f ca="1">[1]!s2m(F77)</f>
        <v>#NAME?</v>
      </c>
      <c r="I77" s="40" t="e">
        <f t="shared" ca="1" si="4"/>
        <v>#NAME?</v>
      </c>
      <c r="K77" s="26"/>
      <c r="L77" s="26"/>
      <c r="M77" s="26"/>
      <c r="N77" s="26"/>
      <c r="O77" s="26"/>
      <c r="P77" s="26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s="25" customFormat="1" x14ac:dyDescent="0.45">
      <c r="A78" s="18"/>
      <c r="B78" s="19"/>
      <c r="C78" s="20"/>
      <c r="D78" s="20"/>
      <c r="E78" s="22" t="s">
        <v>927</v>
      </c>
      <c r="F78" s="22" t="s">
        <v>933</v>
      </c>
      <c r="G78" s="23" t="e">
        <f ca="1">[1]!s2m(E78)</f>
        <v>#NAME?</v>
      </c>
      <c r="H78" s="22" t="e">
        <f ca="1">[1]!s2m(F78)</f>
        <v>#NAME?</v>
      </c>
      <c r="I78" s="40" t="e">
        <f t="shared" ca="1" si="4"/>
        <v>#NAME?</v>
      </c>
      <c r="K78" s="26"/>
      <c r="L78" s="26"/>
      <c r="M78" s="26"/>
      <c r="N78" s="26"/>
      <c r="O78" s="26"/>
      <c r="P78" s="26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 spans="1:38" s="25" customFormat="1" x14ac:dyDescent="0.45">
      <c r="A79" s="18"/>
      <c r="B79" s="19"/>
      <c r="C79" s="20"/>
      <c r="D79" s="20"/>
      <c r="E79" s="22" t="s">
        <v>928</v>
      </c>
      <c r="F79" s="22" t="s">
        <v>934</v>
      </c>
      <c r="G79" s="23" t="e">
        <f ca="1">[1]!s2m(E79)</f>
        <v>#NAME?</v>
      </c>
      <c r="H79" s="22" t="e">
        <f ca="1">[1]!s2m(F79)</f>
        <v>#NAME?</v>
      </c>
      <c r="I79" s="40" t="e">
        <f t="shared" ca="1" si="4"/>
        <v>#NAME?</v>
      </c>
      <c r="K79" s="26"/>
      <c r="L79" s="26"/>
      <c r="M79" s="26"/>
      <c r="N79" s="26"/>
      <c r="O79" s="26"/>
      <c r="P79" s="26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s="25" customFormat="1" x14ac:dyDescent="0.45">
      <c r="A80" s="18"/>
      <c r="B80" s="19"/>
      <c r="C80" s="20"/>
      <c r="D80" s="20"/>
      <c r="E80" s="22" t="s">
        <v>929</v>
      </c>
      <c r="F80" s="22" t="s">
        <v>935</v>
      </c>
      <c r="G80" s="23" t="e">
        <f ca="1">[1]!s2m(E80)</f>
        <v>#NAME?</v>
      </c>
      <c r="H80" s="22" t="e">
        <f ca="1">[1]!s2m(F80)</f>
        <v>#NAME?</v>
      </c>
      <c r="I80" s="40" t="e">
        <f t="shared" ca="1" si="4"/>
        <v>#NAME?</v>
      </c>
      <c r="K80" s="26"/>
      <c r="L80" s="26"/>
      <c r="M80" s="26"/>
      <c r="N80" s="26"/>
      <c r="O80" s="26"/>
      <c r="P80" s="26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 spans="1:38" s="25" customFormat="1" x14ac:dyDescent="0.45">
      <c r="A81" s="18"/>
      <c r="B81" s="19"/>
      <c r="C81" s="20"/>
      <c r="D81" s="20"/>
      <c r="E81" s="22" t="s">
        <v>936</v>
      </c>
      <c r="F81" s="22" t="s">
        <v>943</v>
      </c>
      <c r="G81" s="23" t="e">
        <f ca="1">[1]!s2m(E81)</f>
        <v>#NAME?</v>
      </c>
      <c r="H81" s="22" t="e">
        <f ca="1">[1]!s2m(F81)</f>
        <v>#NAME?</v>
      </c>
      <c r="I81" s="40" t="e">
        <f t="shared" ca="1" si="4"/>
        <v>#NAME?</v>
      </c>
      <c r="K81" s="26"/>
      <c r="L81" s="26"/>
      <c r="M81" s="26"/>
      <c r="N81" s="26"/>
      <c r="O81" s="26"/>
      <c r="P81" s="26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s="25" customFormat="1" x14ac:dyDescent="0.45">
      <c r="A82" s="18"/>
      <c r="B82" s="19"/>
      <c r="C82" s="20"/>
      <c r="D82" s="20"/>
      <c r="E82" s="22" t="s">
        <v>937</v>
      </c>
      <c r="F82" s="22" t="s">
        <v>944</v>
      </c>
      <c r="G82" s="23" t="e">
        <f ca="1">[1]!s2m(E82)</f>
        <v>#NAME?</v>
      </c>
      <c r="H82" s="22" t="e">
        <f ca="1">[1]!s2m(F82)</f>
        <v>#NAME?</v>
      </c>
      <c r="I82" s="40" t="e">
        <f t="shared" ca="1" si="4"/>
        <v>#NAME?</v>
      </c>
      <c r="K82" s="26"/>
      <c r="L82" s="26"/>
      <c r="M82" s="26"/>
      <c r="N82" s="26"/>
      <c r="O82" s="26"/>
      <c r="P82" s="26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 spans="1:38" s="25" customFormat="1" x14ac:dyDescent="0.45">
      <c r="A83" s="18"/>
      <c r="B83" s="19"/>
      <c r="C83" s="20"/>
      <c r="D83" s="20"/>
      <c r="E83" s="22" t="s">
        <v>681</v>
      </c>
      <c r="F83" s="22" t="s">
        <v>945</v>
      </c>
      <c r="G83" s="23" t="e">
        <f ca="1">[1]!s2m(E83)</f>
        <v>#NAME?</v>
      </c>
      <c r="H83" s="22" t="e">
        <f ca="1">[1]!s2m(F83)</f>
        <v>#NAME?</v>
      </c>
      <c r="I83" s="40" t="e">
        <f t="shared" ca="1" si="4"/>
        <v>#NAME?</v>
      </c>
      <c r="K83" s="26"/>
      <c r="L83" s="26"/>
      <c r="M83" s="26"/>
      <c r="N83" s="26"/>
      <c r="O83" s="26"/>
      <c r="P83" s="26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 spans="1:38" s="25" customFormat="1" x14ac:dyDescent="0.45">
      <c r="A84" s="18"/>
      <c r="B84" s="19"/>
      <c r="C84" s="20"/>
      <c r="D84" s="20"/>
      <c r="E84" s="22" t="s">
        <v>938</v>
      </c>
      <c r="F84" s="22" t="s">
        <v>946</v>
      </c>
      <c r="G84" s="23" t="e">
        <f ca="1">[1]!s2m(E84)</f>
        <v>#NAME?</v>
      </c>
      <c r="H84" s="22" t="e">
        <f ca="1">[1]!s2m(F84)</f>
        <v>#NAME?</v>
      </c>
      <c r="I84" s="40" t="e">
        <f t="shared" ca="1" si="4"/>
        <v>#NAME?</v>
      </c>
      <c r="K84" s="26"/>
      <c r="L84" s="26"/>
      <c r="M84" s="26"/>
      <c r="N84" s="26"/>
      <c r="O84" s="26"/>
      <c r="P84" s="26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 spans="1:38" s="25" customFormat="1" x14ac:dyDescent="0.45">
      <c r="A85" s="18"/>
      <c r="B85" s="19"/>
      <c r="C85" s="20"/>
      <c r="D85" s="20"/>
      <c r="E85" s="22" t="s">
        <v>939</v>
      </c>
      <c r="F85" s="22" t="s">
        <v>947</v>
      </c>
      <c r="G85" s="23" t="e">
        <f ca="1">[1]!s2m(E85)</f>
        <v>#NAME?</v>
      </c>
      <c r="H85" s="22" t="e">
        <f ca="1">[1]!s2m(F85)</f>
        <v>#NAME?</v>
      </c>
      <c r="I85" s="40" t="e">
        <f t="shared" ca="1" si="4"/>
        <v>#NAME?</v>
      </c>
      <c r="K85" s="26"/>
      <c r="L85" s="26"/>
      <c r="M85" s="26"/>
      <c r="N85" s="26"/>
      <c r="O85" s="26"/>
      <c r="P85" s="26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 spans="1:38" s="25" customFormat="1" x14ac:dyDescent="0.45">
      <c r="A86" s="18"/>
      <c r="B86" s="19"/>
      <c r="C86" s="20"/>
      <c r="D86" s="20"/>
      <c r="E86" s="22" t="s">
        <v>940</v>
      </c>
      <c r="F86" s="22" t="s">
        <v>948</v>
      </c>
      <c r="G86" s="23" t="e">
        <f ca="1">[1]!s2m(E86)</f>
        <v>#NAME?</v>
      </c>
      <c r="H86" s="22" t="e">
        <f ca="1">[1]!s2m(F86)</f>
        <v>#NAME?</v>
      </c>
      <c r="I86" s="40" t="e">
        <f t="shared" ca="1" si="4"/>
        <v>#NAME?</v>
      </c>
      <c r="K86" s="26"/>
      <c r="L86" s="26"/>
      <c r="M86" s="26"/>
      <c r="N86" s="26"/>
      <c r="O86" s="26"/>
      <c r="P86" s="26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s="25" customFormat="1" x14ac:dyDescent="0.45">
      <c r="A87" s="18"/>
      <c r="B87" s="19"/>
      <c r="C87" s="20"/>
      <c r="D87" s="20"/>
      <c r="E87" s="22" t="s">
        <v>941</v>
      </c>
      <c r="F87" s="22" t="s">
        <v>949</v>
      </c>
      <c r="G87" s="23" t="e">
        <f ca="1">[1]!s2m(E87)</f>
        <v>#NAME?</v>
      </c>
      <c r="H87" s="22" t="e">
        <f ca="1">[1]!s2m(F87)</f>
        <v>#NAME?</v>
      </c>
      <c r="I87" s="40" t="e">
        <f t="shared" ca="1" si="4"/>
        <v>#NAME?</v>
      </c>
      <c r="K87" s="26"/>
      <c r="L87" s="26"/>
      <c r="M87" s="26"/>
      <c r="N87" s="26"/>
      <c r="O87" s="26"/>
      <c r="P87" s="26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 spans="1:38" s="25" customFormat="1" x14ac:dyDescent="0.45">
      <c r="A88" s="18"/>
      <c r="B88" s="19"/>
      <c r="C88" s="20"/>
      <c r="D88" s="20"/>
      <c r="E88" s="22" t="s">
        <v>942</v>
      </c>
      <c r="F88" s="22" t="s">
        <v>950</v>
      </c>
      <c r="G88" s="23" t="e">
        <f ca="1">[1]!s2m(E88)</f>
        <v>#NAME?</v>
      </c>
      <c r="H88" s="22" t="e">
        <f ca="1">[1]!s2m(F88)</f>
        <v>#NAME?</v>
      </c>
      <c r="I88" s="40" t="e">
        <f t="shared" ca="1" si="4"/>
        <v>#NAME?</v>
      </c>
      <c r="K88" s="26"/>
      <c r="L88" s="26"/>
      <c r="M88" s="26"/>
      <c r="N88" s="26"/>
      <c r="O88" s="26"/>
      <c r="P88" s="26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 spans="1:38" s="25" customFormat="1" x14ac:dyDescent="0.45">
      <c r="A89" s="18"/>
      <c r="B89" s="19"/>
      <c r="C89" s="20"/>
      <c r="D89" s="20"/>
      <c r="E89" s="22" t="s">
        <v>938</v>
      </c>
      <c r="F89" s="22" t="s">
        <v>946</v>
      </c>
      <c r="G89" s="23" t="e">
        <f ca="1">[1]!s2m(E89)</f>
        <v>#NAME?</v>
      </c>
      <c r="H89" s="22" t="e">
        <f ca="1">[1]!s2m(F89)</f>
        <v>#NAME?</v>
      </c>
      <c r="I89" s="40" t="e">
        <f t="shared" ca="1" si="4"/>
        <v>#NAME?</v>
      </c>
      <c r="K89" s="26"/>
      <c r="L89" s="26"/>
      <c r="M89" s="26"/>
      <c r="N89" s="26"/>
      <c r="O89" s="26"/>
      <c r="P89" s="26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s="25" customFormat="1" x14ac:dyDescent="0.45">
      <c r="A90" s="18"/>
      <c r="B90" s="19"/>
      <c r="C90" s="20"/>
      <c r="D90" s="20"/>
      <c r="E90" s="22" t="s">
        <v>942</v>
      </c>
      <c r="F90" s="22" t="s">
        <v>950</v>
      </c>
      <c r="G90" s="23" t="e">
        <f ca="1">[1]!s2m(E90)</f>
        <v>#NAME?</v>
      </c>
      <c r="H90" s="22" t="e">
        <f ca="1">[1]!s2m(F90)</f>
        <v>#NAME?</v>
      </c>
      <c r="I90" s="40" t="e">
        <f t="shared" ca="1" si="4"/>
        <v>#NAME?</v>
      </c>
      <c r="K90" s="26"/>
      <c r="L90" s="26"/>
      <c r="M90" s="26"/>
      <c r="N90" s="26"/>
      <c r="O90" s="26"/>
      <c r="P90" s="26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</sheetData>
  <autoFilter ref="A11:AL53" xr:uid="{00000000-0009-0000-0000-000003000000}"/>
  <mergeCells count="47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G10:G11"/>
    <mergeCell ref="H10:H11"/>
    <mergeCell ref="G8:H9"/>
    <mergeCell ref="I8:P8"/>
    <mergeCell ref="Q8:Q10"/>
  </mergeCells>
  <conditionalFormatting sqref="B12:B53">
    <cfRule type="cellIs" dxfId="71" priority="3" operator="equal">
      <formula>"Delete"</formula>
    </cfRule>
    <cfRule type="cellIs" dxfId="70" priority="8" operator="equal">
      <formula>"On time"</formula>
    </cfRule>
    <cfRule type="cellIs" dxfId="69" priority="9" operator="equal">
      <formula>"Delay"</formula>
    </cfRule>
    <cfRule type="cellIs" dxfId="68" priority="11" operator="equal">
      <formula>"Inprogress"</formula>
    </cfRule>
    <cfRule type="cellIs" dxfId="67" priority="12" operator="equal">
      <formula>"Ahead of schedule"</formula>
    </cfRule>
  </conditionalFormatting>
  <conditionalFormatting sqref="B6:D6">
    <cfRule type="cellIs" dxfId="66" priority="10" operator="equal">
      <formula>"Delay"</formula>
    </cfRule>
  </conditionalFormatting>
  <conditionalFormatting sqref="I12:R53">
    <cfRule type="cellIs" dxfId="65" priority="1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{A71E4468-C0F6-4665-B29A-D42B5B67E459}</x14:id>
        </ext>
      </extLst>
    </cfRule>
  </conditionalFormatting>
  <conditionalFormatting sqref="Q12:R53">
    <cfRule type="cellIs" dxfId="64" priority="5" operator="between">
      <formula>0.01</formula>
      <formula>0.99</formula>
    </cfRule>
    <cfRule type="cellIs" dxfId="63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E4468-C0F6-4665-B29A-D42B5B67E4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5" tint="-0.249977111117893"/>
  </sheetPr>
  <dimension ref="A1:AL56"/>
  <sheetViews>
    <sheetView tabSelected="1" topLeftCell="D7" zoomScale="55" zoomScaleNormal="55" zoomScaleSheetLayoutView="40" zoomScalePageLayoutView="40" workbookViewId="0">
      <selection activeCell="G13" sqref="G13:H19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25" width="10.3984375" style="22" customWidth="1"/>
    <col min="26" max="27" width="10.3984375" style="22" hidden="1" customWidth="1"/>
    <col min="28" max="28" width="10.3984375" style="22" customWidth="1"/>
    <col min="29" max="30" width="12.265625" style="22" customWidth="1"/>
    <col min="31" max="16384" width="9.1328125" style="22"/>
  </cols>
  <sheetData>
    <row r="1" spans="1:38" ht="16.149999999999999" thickBot="1" x14ac:dyDescent="0.5"/>
    <row r="2" spans="1:38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38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38" customFormat="1" ht="19.7" customHeight="1" thickBot="1" x14ac:dyDescent="0.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38" customFormat="1" ht="19.7" customHeight="1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S5" s="105" t="s">
        <v>173</v>
      </c>
      <c r="T5" s="107" t="s">
        <v>147</v>
      </c>
      <c r="U5" s="107" t="s">
        <v>155</v>
      </c>
      <c r="V5" s="107" t="s">
        <v>156</v>
      </c>
      <c r="W5" s="107" t="s">
        <v>157</v>
      </c>
      <c r="X5" s="107" t="s">
        <v>158</v>
      </c>
      <c r="Y5" s="107" t="s">
        <v>159</v>
      </c>
      <c r="Z5" s="7"/>
      <c r="AA5" s="7"/>
      <c r="AB5" s="103" t="s">
        <v>160</v>
      </c>
      <c r="AC5" s="14"/>
      <c r="AL5" s="6"/>
    </row>
    <row r="6" spans="1:38" customFormat="1" ht="22.5" customHeight="1" thickBot="1" x14ac:dyDescent="0.5">
      <c r="A6" s="32" t="s">
        <v>152</v>
      </c>
      <c r="B6" s="131"/>
      <c r="C6" s="131"/>
      <c r="D6" s="34"/>
      <c r="E6" s="101" t="s">
        <v>1067</v>
      </c>
      <c r="F6" s="101"/>
      <c r="G6" s="101"/>
      <c r="H6" s="75" t="s">
        <v>921</v>
      </c>
      <c r="I6" s="75"/>
      <c r="J6" s="75"/>
      <c r="K6" s="75">
        <f>COUNTIF(B15:B19,"On time")</f>
        <v>0</v>
      </c>
      <c r="L6" s="75"/>
      <c r="M6" s="75"/>
      <c r="N6" s="120">
        <f>COUNTIF(B15:B19,"Inprogress")</f>
        <v>5</v>
      </c>
      <c r="O6" s="121"/>
      <c r="P6" s="122"/>
      <c r="Q6" s="109" t="s">
        <v>1098</v>
      </c>
      <c r="R6" s="109"/>
      <c r="S6" s="106"/>
      <c r="T6" s="108"/>
      <c r="U6" s="108"/>
      <c r="V6" s="108"/>
      <c r="W6" s="108"/>
      <c r="X6" s="108"/>
      <c r="Y6" s="108"/>
      <c r="AB6" s="104"/>
      <c r="AC6" s="15"/>
    </row>
    <row r="7" spans="1:38" customFormat="1" ht="24.75" customHeight="1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  <c r="S7" s="16">
        <v>0</v>
      </c>
      <c r="T7" s="10">
        <v>0.05</v>
      </c>
      <c r="U7" s="10">
        <v>0.1</v>
      </c>
      <c r="V7" s="10">
        <v>0.15</v>
      </c>
      <c r="W7" s="10">
        <v>0.11</v>
      </c>
      <c r="X7" s="10">
        <v>0.2</v>
      </c>
      <c r="Y7" s="10">
        <v>0.24</v>
      </c>
      <c r="Z7" s="10">
        <v>0</v>
      </c>
      <c r="AA7" s="10">
        <v>0</v>
      </c>
      <c r="AB7" s="11">
        <v>0.15</v>
      </c>
      <c r="AC7" s="8" t="s">
        <v>171</v>
      </c>
    </row>
    <row r="8" spans="1:38" customFormat="1" ht="37.700000000000003" customHeight="1" thickBot="1" x14ac:dyDescent="0.5">
      <c r="A8" s="142" t="s">
        <v>956</v>
      </c>
      <c r="B8" s="142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  <c r="S8" s="17">
        <v>0.15</v>
      </c>
      <c r="T8" s="12">
        <v>0.05</v>
      </c>
      <c r="U8" s="12">
        <v>0.1</v>
      </c>
      <c r="V8" s="12">
        <v>0.15</v>
      </c>
      <c r="W8" s="12">
        <v>0.1</v>
      </c>
      <c r="X8" s="12">
        <v>0.15</v>
      </c>
      <c r="Y8" s="12">
        <v>0.15</v>
      </c>
      <c r="Z8" s="12">
        <v>0</v>
      </c>
      <c r="AA8" s="12">
        <v>0</v>
      </c>
      <c r="AB8" s="13">
        <v>0.15</v>
      </c>
      <c r="AC8" s="9" t="s">
        <v>172</v>
      </c>
    </row>
    <row r="9" spans="1:38" customFormat="1" ht="26.25" customHeight="1" thickBot="1" x14ac:dyDescent="0.5">
      <c r="A9" s="143"/>
      <c r="B9" s="143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  <c r="S9" s="2"/>
      <c r="T9" s="2"/>
      <c r="U9" s="2">
        <v>0.2</v>
      </c>
      <c r="V9" s="2">
        <v>0.3</v>
      </c>
      <c r="W9" s="2"/>
      <c r="X9" s="2"/>
      <c r="AB9" s="13">
        <v>0.5</v>
      </c>
      <c r="AC9" t="s">
        <v>919</v>
      </c>
    </row>
    <row r="10" spans="1:38" customFormat="1" ht="36.4" customHeight="1" x14ac:dyDescent="0.45">
      <c r="A10" s="143"/>
      <c r="B10" s="143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  <c r="T10" s="3"/>
      <c r="U10" s="3"/>
      <c r="V10" s="3"/>
      <c r="W10" s="3"/>
    </row>
    <row r="11" spans="1:38" customFormat="1" ht="40.5" customHeight="1" x14ac:dyDescent="0.45">
      <c r="A11" s="143"/>
      <c r="B11" s="143"/>
      <c r="C11" s="83"/>
      <c r="D11" s="83"/>
      <c r="E11" s="141"/>
      <c r="F11" s="141"/>
      <c r="G11" s="141"/>
      <c r="H11" s="141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137">
        <f>AVERAGE(Q13:Q19)</f>
        <v>0.2767857142857143</v>
      </c>
      <c r="R11" s="139">
        <f>AVERAGE(R13:R19)</f>
        <v>0.36428571428571438</v>
      </c>
      <c r="T11" s="3"/>
      <c r="U11" s="3"/>
      <c r="V11" s="3"/>
      <c r="W11" s="3"/>
    </row>
    <row r="12" spans="1:38" customFormat="1" ht="40.5" customHeight="1" x14ac:dyDescent="0.45">
      <c r="A12" s="144"/>
      <c r="B12" s="144"/>
      <c r="C12" s="84"/>
      <c r="D12" s="84"/>
      <c r="E12" s="86"/>
      <c r="F12" s="86"/>
      <c r="G12" s="86"/>
      <c r="H12" s="86"/>
      <c r="I12" s="56">
        <v>0</v>
      </c>
      <c r="J12" s="56">
        <v>0.05</v>
      </c>
      <c r="K12" s="56">
        <v>0.1</v>
      </c>
      <c r="L12" s="56">
        <v>0.15</v>
      </c>
      <c r="M12" s="56">
        <v>0.11</v>
      </c>
      <c r="N12" s="56">
        <v>0.2</v>
      </c>
      <c r="O12" s="56">
        <v>0.24</v>
      </c>
      <c r="P12" s="56">
        <v>0.15</v>
      </c>
      <c r="Q12" s="138"/>
      <c r="R12" s="140"/>
    </row>
    <row r="13" spans="1:38" customFormat="1" ht="65.099999999999994" customHeight="1" x14ac:dyDescent="0.45">
      <c r="A13" s="27">
        <v>7852</v>
      </c>
      <c r="B13" s="28" t="str">
        <f t="shared" ref="B13:B18" si="0">IF(R13=1,"On time","Inprogress")</f>
        <v>On time</v>
      </c>
      <c r="C13" s="43" t="s">
        <v>1028</v>
      </c>
      <c r="D13" s="43" t="s">
        <v>963</v>
      </c>
      <c r="E13" s="45" t="s">
        <v>1013</v>
      </c>
      <c r="F13" s="45" t="s">
        <v>997</v>
      </c>
      <c r="G13" s="45" t="s">
        <v>1013</v>
      </c>
      <c r="H13" s="45" t="s">
        <v>1082</v>
      </c>
      <c r="I13" s="49">
        <v>1</v>
      </c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>SUMPRODUCT($K$11:$P$11,K13:P13)/0.8</f>
        <v>1</v>
      </c>
      <c r="R13" s="50">
        <f>SUMPRODUCT($I$11:$P$11,I13:P13)</f>
        <v>1</v>
      </c>
      <c r="S13" s="5"/>
      <c r="W13" s="4"/>
      <c r="X13" s="4"/>
    </row>
    <row r="14" spans="1:38" customFormat="1" ht="65.099999999999994" customHeight="1" x14ac:dyDescent="0.45">
      <c r="A14" s="27">
        <v>7886</v>
      </c>
      <c r="B14" s="28" t="str">
        <f t="shared" si="0"/>
        <v>Inprogress</v>
      </c>
      <c r="C14" s="43" t="s">
        <v>1044</v>
      </c>
      <c r="D14" s="43" t="s">
        <v>963</v>
      </c>
      <c r="E14" s="45" t="s">
        <v>952</v>
      </c>
      <c r="F14" s="45" t="s">
        <v>997</v>
      </c>
      <c r="G14" s="45" t="s">
        <v>952</v>
      </c>
      <c r="H14" s="45"/>
      <c r="I14" s="49">
        <v>1</v>
      </c>
      <c r="J14" s="49">
        <v>1</v>
      </c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0</v>
      </c>
      <c r="Q14" s="50">
        <f>SUMPRODUCT($K$11:$P$11,K14:P14)/0.8</f>
        <v>0.8125</v>
      </c>
      <c r="R14" s="50">
        <f>SUMPRODUCT($I$11:$P$11,I14:P14)</f>
        <v>0.85000000000000009</v>
      </c>
      <c r="S14" s="5"/>
      <c r="W14" s="4"/>
      <c r="X14" s="4"/>
    </row>
    <row r="15" spans="1:38" customFormat="1" ht="65.099999999999994" customHeight="1" x14ac:dyDescent="0.45">
      <c r="A15" s="27">
        <v>7853</v>
      </c>
      <c r="B15" s="28" t="str">
        <f t="shared" si="0"/>
        <v>Inprogress</v>
      </c>
      <c r="C15" s="43" t="s">
        <v>1027</v>
      </c>
      <c r="D15" s="43" t="s">
        <v>963</v>
      </c>
      <c r="E15" s="45" t="s">
        <v>1080</v>
      </c>
      <c r="F15" s="45" t="s">
        <v>997</v>
      </c>
      <c r="G15" s="45" t="s">
        <v>1080</v>
      </c>
      <c r="H15" s="45"/>
      <c r="I15" s="49">
        <v>1</v>
      </c>
      <c r="J15" s="49">
        <v>1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50">
        <f>SUMPRODUCT($K$11:$P$11,K15:P15)/0.8</f>
        <v>0</v>
      </c>
      <c r="R15" s="50">
        <f>SUMPRODUCT($I$11:$P$11,I15:P15)</f>
        <v>0.2</v>
      </c>
      <c r="S15" s="5"/>
      <c r="W15" s="4"/>
      <c r="X15" s="4"/>
    </row>
    <row r="16" spans="1:38" customFormat="1" ht="65.099999999999994" customHeight="1" x14ac:dyDescent="0.45">
      <c r="A16" s="27">
        <v>7885</v>
      </c>
      <c r="B16" s="28" t="str">
        <f t="shared" si="0"/>
        <v>Inprogress</v>
      </c>
      <c r="C16" s="43" t="s">
        <v>1045</v>
      </c>
      <c r="D16" s="43" t="s">
        <v>963</v>
      </c>
      <c r="E16" s="45" t="s">
        <v>1015</v>
      </c>
      <c r="F16" s="45" t="s">
        <v>997</v>
      </c>
      <c r="G16" s="45" t="s">
        <v>1098</v>
      </c>
      <c r="H16" s="45"/>
      <c r="I16" s="49">
        <v>1</v>
      </c>
      <c r="J16" s="49">
        <v>1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50">
        <f>SUMPRODUCT($K$11:$P$11,K16:P16)/0.8</f>
        <v>0</v>
      </c>
      <c r="R16" s="50">
        <f>SUMPRODUCT($I$11:$P$11,I16:P16)</f>
        <v>0.2</v>
      </c>
      <c r="S16" s="5"/>
      <c r="W16" s="4"/>
      <c r="X16" s="4"/>
    </row>
    <row r="17" spans="1:38" customFormat="1" ht="65.099999999999994" customHeight="1" x14ac:dyDescent="0.45">
      <c r="A17" s="27">
        <v>7848</v>
      </c>
      <c r="B17" s="28" t="str">
        <f t="shared" si="0"/>
        <v>Inprogress</v>
      </c>
      <c r="C17" s="43" t="s">
        <v>1030</v>
      </c>
      <c r="D17" s="43" t="s">
        <v>963</v>
      </c>
      <c r="E17" s="45" t="s">
        <v>1074</v>
      </c>
      <c r="F17" s="45" t="s">
        <v>1093</v>
      </c>
      <c r="G17" s="45" t="s">
        <v>1074</v>
      </c>
      <c r="H17" s="45"/>
      <c r="I17" s="49">
        <v>1</v>
      </c>
      <c r="J17" s="49">
        <v>1</v>
      </c>
      <c r="K17" s="49">
        <v>1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50">
        <f>SUMPRODUCT($K$11:$P$11,K17:P17)/0.8</f>
        <v>0.125</v>
      </c>
      <c r="R17" s="50">
        <f>SUMPRODUCT($I$11:$P$11,I17:P17)</f>
        <v>0.30000000000000004</v>
      </c>
      <c r="S17" s="5"/>
      <c r="W17" s="4"/>
      <c r="X17" s="4"/>
    </row>
    <row r="18" spans="1:38" customFormat="1" ht="65.099999999999994" customHeight="1" x14ac:dyDescent="0.45">
      <c r="A18" s="27">
        <v>7851</v>
      </c>
      <c r="B18" s="28" t="str">
        <f t="shared" si="0"/>
        <v>Inprogress</v>
      </c>
      <c r="C18" s="43" t="s">
        <v>1029</v>
      </c>
      <c r="D18" s="43" t="s">
        <v>989</v>
      </c>
      <c r="E18" s="45"/>
      <c r="F18" s="45" t="s">
        <v>1078</v>
      </c>
      <c r="G18" s="45"/>
      <c r="H18" s="45"/>
      <c r="I18" s="49"/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50">
        <f t="shared" ref="Q18:Q19" si="1">SUMPRODUCT($K$11:$P$11,K18:P18)/0.8</f>
        <v>0</v>
      </c>
      <c r="R18" s="50">
        <f t="shared" ref="R18:R19" si="2">SUMPRODUCT($I$11:$P$11,I18:P18)</f>
        <v>0</v>
      </c>
      <c r="S18" s="5"/>
      <c r="W18" s="4"/>
      <c r="X18" s="4"/>
    </row>
    <row r="19" spans="1:38" customFormat="1" ht="65.099999999999994" customHeight="1" x14ac:dyDescent="0.45">
      <c r="A19" s="27">
        <v>8061</v>
      </c>
      <c r="B19" s="28" t="str">
        <f t="shared" ref="B19" si="3">IF(R19=1,"On time","Inprogress")</f>
        <v>Inprogress</v>
      </c>
      <c r="C19" s="43" t="s">
        <v>1034</v>
      </c>
      <c r="D19" s="43" t="s">
        <v>989</v>
      </c>
      <c r="E19" s="45"/>
      <c r="F19" s="45" t="s">
        <v>1015</v>
      </c>
      <c r="G19" s="45"/>
      <c r="H19" s="45"/>
      <c r="I19" s="49"/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50">
        <f t="shared" si="1"/>
        <v>0</v>
      </c>
      <c r="R19" s="50">
        <f t="shared" si="2"/>
        <v>0</v>
      </c>
      <c r="S19" s="5"/>
      <c r="W19" s="4"/>
      <c r="X19" s="4"/>
    </row>
    <row r="20" spans="1:38" x14ac:dyDescent="0.45">
      <c r="F20" s="23"/>
      <c r="G20" s="23"/>
    </row>
    <row r="21" spans="1:38" x14ac:dyDescent="0.45">
      <c r="F21" s="23"/>
      <c r="G21" s="23"/>
    </row>
    <row r="22" spans="1:38" x14ac:dyDescent="0.45">
      <c r="F22" s="23"/>
      <c r="G22" s="23"/>
    </row>
    <row r="23" spans="1:38" x14ac:dyDescent="0.45">
      <c r="F23" s="23"/>
      <c r="G23" s="23"/>
    </row>
    <row r="24" spans="1:38" x14ac:dyDescent="0.45">
      <c r="F24" s="23"/>
      <c r="G24" s="23"/>
    </row>
    <row r="25" spans="1:38" x14ac:dyDescent="0.45">
      <c r="F25" s="23"/>
      <c r="G25" s="23"/>
    </row>
    <row r="26" spans="1:38" x14ac:dyDescent="0.45">
      <c r="F26" s="23"/>
      <c r="G26" s="23"/>
    </row>
    <row r="27" spans="1:38" x14ac:dyDescent="0.45">
      <c r="F27" s="23"/>
      <c r="G27" s="23"/>
    </row>
    <row r="28" spans="1:38" x14ac:dyDescent="0.45">
      <c r="F28" s="23"/>
      <c r="G28" s="23"/>
    </row>
    <row r="29" spans="1:38" x14ac:dyDescent="0.45">
      <c r="F29" s="23"/>
      <c r="G29" s="23"/>
    </row>
    <row r="30" spans="1:38" x14ac:dyDescent="0.45">
      <c r="F30" s="23"/>
      <c r="G30" s="23"/>
    </row>
    <row r="31" spans="1:38" s="25" customFormat="1" x14ac:dyDescent="0.45">
      <c r="A31" s="18"/>
      <c r="B31" s="19"/>
      <c r="C31" s="20"/>
      <c r="D31" s="20"/>
      <c r="E31" s="22"/>
      <c r="F31" s="23"/>
      <c r="G31" s="23"/>
      <c r="H31" s="22"/>
      <c r="K31" s="26"/>
      <c r="L31" s="26"/>
      <c r="M31" s="26"/>
      <c r="N31" s="26"/>
      <c r="O31" s="26"/>
      <c r="P31" s="26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s="25" customFormat="1" x14ac:dyDescent="0.45">
      <c r="A32" s="18"/>
      <c r="B32" s="19"/>
      <c r="C32" s="20"/>
      <c r="D32" s="20"/>
      <c r="E32" s="22"/>
      <c r="F32" s="23"/>
      <c r="G32" s="23"/>
      <c r="H32" s="22"/>
      <c r="K32" s="26"/>
      <c r="L32" s="26"/>
      <c r="M32" s="26"/>
      <c r="N32" s="26"/>
      <c r="O32" s="26"/>
      <c r="P32" s="26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s="25" customFormat="1" x14ac:dyDescent="0.45">
      <c r="A33" s="18"/>
      <c r="B33" s="19"/>
      <c r="C33" s="20"/>
      <c r="D33" s="20"/>
      <c r="E33" s="22"/>
      <c r="F33" s="23"/>
      <c r="G33" s="23"/>
      <c r="H33" s="22"/>
      <c r="K33" s="26"/>
      <c r="L33" s="26"/>
      <c r="M33" s="26"/>
      <c r="N33" s="26"/>
      <c r="O33" s="26"/>
      <c r="P33" s="26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s="25" customFormat="1" x14ac:dyDescent="0.45">
      <c r="A34" s="18"/>
      <c r="B34" s="19"/>
      <c r="C34" s="20"/>
      <c r="D34" s="20"/>
      <c r="E34" s="22"/>
      <c r="F34" s="23"/>
      <c r="G34" s="23"/>
      <c r="H34" s="22"/>
      <c r="K34" s="26"/>
      <c r="L34" s="26"/>
      <c r="M34" s="26"/>
      <c r="N34" s="26"/>
      <c r="O34" s="26"/>
      <c r="P34" s="26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s="25" customFormat="1" x14ac:dyDescent="0.45">
      <c r="A35" s="18"/>
      <c r="B35" s="19"/>
      <c r="C35" s="20"/>
      <c r="D35" s="20"/>
      <c r="E35" s="22"/>
      <c r="F35" s="23"/>
      <c r="G35" s="23"/>
      <c r="H35" s="22"/>
      <c r="K35" s="26"/>
      <c r="L35" s="26"/>
      <c r="M35" s="26"/>
      <c r="N35" s="26"/>
      <c r="O35" s="26"/>
      <c r="P35" s="26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s="25" customFormat="1" x14ac:dyDescent="0.45">
      <c r="A36" s="18"/>
      <c r="B36" s="19"/>
      <c r="C36" s="20"/>
      <c r="D36" s="20"/>
      <c r="E36" s="22"/>
      <c r="F36" s="23"/>
      <c r="G36" s="23"/>
      <c r="H36" s="22"/>
      <c r="K36" s="26"/>
      <c r="L36" s="26"/>
      <c r="M36" s="26"/>
      <c r="N36" s="26"/>
      <c r="O36" s="26"/>
      <c r="P36" s="26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s="25" customFormat="1" x14ac:dyDescent="0.45">
      <c r="A37" s="18"/>
      <c r="B37" s="19"/>
      <c r="C37" s="20"/>
      <c r="D37" s="20"/>
      <c r="E37" s="22"/>
      <c r="F37" s="23"/>
      <c r="G37" s="23"/>
      <c r="H37" s="22"/>
      <c r="K37" s="26"/>
      <c r="L37" s="26"/>
      <c r="M37" s="26"/>
      <c r="N37" s="26"/>
      <c r="O37" s="26"/>
      <c r="P37" s="26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s="25" customFormat="1" x14ac:dyDescent="0.45">
      <c r="A38" s="18"/>
      <c r="B38" s="19"/>
      <c r="C38" s="20"/>
      <c r="D38" s="20"/>
      <c r="E38" s="22"/>
      <c r="F38" s="23"/>
      <c r="G38" s="23"/>
      <c r="H38" s="22"/>
      <c r="K38" s="26"/>
      <c r="L38" s="26"/>
      <c r="M38" s="26"/>
      <c r="N38" s="26"/>
      <c r="O38" s="26"/>
      <c r="P38" s="26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s="25" customFormat="1" x14ac:dyDescent="0.45">
      <c r="A39" s="18"/>
      <c r="B39" s="19"/>
      <c r="C39" s="20"/>
      <c r="D39" s="20"/>
      <c r="E39" s="22"/>
      <c r="F39" s="23"/>
      <c r="G39" s="23"/>
      <c r="H39" s="22"/>
      <c r="K39" s="26"/>
      <c r="L39" s="26"/>
      <c r="M39" s="26"/>
      <c r="N39" s="26"/>
      <c r="O39" s="26"/>
      <c r="P39" s="26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s="25" customFormat="1" x14ac:dyDescent="0.45">
      <c r="A40" s="18"/>
      <c r="B40" s="19"/>
      <c r="C40" s="20"/>
      <c r="D40" s="20"/>
      <c r="E40" s="22" t="s">
        <v>925</v>
      </c>
      <c r="F40" s="23" t="s">
        <v>930</v>
      </c>
      <c r="G40" s="23" t="e">
        <f ca="1">[1]!s2m(E40)</f>
        <v>#NAME?</v>
      </c>
      <c r="H40" s="22" t="e">
        <f ca="1">[1]!s2m(F40)</f>
        <v>#NAME?</v>
      </c>
      <c r="I40" s="40" t="e">
        <f t="shared" ref="I40:I56" ca="1" si="4">H40-TODAY()</f>
        <v>#NAME?</v>
      </c>
      <c r="K40" s="26"/>
      <c r="L40" s="26"/>
      <c r="M40" s="26"/>
      <c r="N40" s="26"/>
      <c r="O40" s="26"/>
      <c r="P40" s="26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25" customFormat="1" x14ac:dyDescent="0.45">
      <c r="A41" s="18"/>
      <c r="B41" s="19"/>
      <c r="C41" s="20"/>
      <c r="D41" s="20"/>
      <c r="E41" s="22" t="s">
        <v>925</v>
      </c>
      <c r="F41" s="22" t="s">
        <v>930</v>
      </c>
      <c r="G41" s="23" t="e">
        <f ca="1">[1]!s2m(E41)</f>
        <v>#NAME?</v>
      </c>
      <c r="H41" s="22" t="e">
        <f ca="1">[1]!s2m(F41)</f>
        <v>#NAME?</v>
      </c>
      <c r="I41" s="40" t="e">
        <f t="shared" ca="1" si="4"/>
        <v>#NAME?</v>
      </c>
      <c r="K41" s="26"/>
      <c r="L41" s="26"/>
      <c r="M41" s="26"/>
      <c r="N41" s="26"/>
      <c r="O41" s="26"/>
      <c r="P41" s="26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s="25" customFormat="1" x14ac:dyDescent="0.45">
      <c r="A42" s="18"/>
      <c r="B42" s="19"/>
      <c r="C42" s="20"/>
      <c r="D42" s="20"/>
      <c r="E42" s="22" t="s">
        <v>926</v>
      </c>
      <c r="F42" s="22" t="s">
        <v>931</v>
      </c>
      <c r="G42" s="23" t="e">
        <f ca="1">[1]!s2m(E42)</f>
        <v>#NAME?</v>
      </c>
      <c r="H42" s="22" t="e">
        <f ca="1">[1]!s2m(F42)</f>
        <v>#NAME?</v>
      </c>
      <c r="I42" s="40" t="e">
        <f t="shared" ca="1" si="4"/>
        <v>#NAME?</v>
      </c>
      <c r="K42" s="26"/>
      <c r="L42" s="26"/>
      <c r="M42" s="26"/>
      <c r="N42" s="26"/>
      <c r="O42" s="26"/>
      <c r="P42" s="26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s="25" customFormat="1" x14ac:dyDescent="0.45">
      <c r="A43" s="18"/>
      <c r="B43" s="19"/>
      <c r="C43" s="20"/>
      <c r="D43" s="20"/>
      <c r="E43" s="22" t="s">
        <v>924</v>
      </c>
      <c r="F43" s="22" t="s">
        <v>932</v>
      </c>
      <c r="G43" s="23" t="e">
        <f ca="1">[1]!s2m(E43)</f>
        <v>#NAME?</v>
      </c>
      <c r="H43" s="22" t="e">
        <f ca="1">[1]!s2m(F43)</f>
        <v>#NAME?</v>
      </c>
      <c r="I43" s="40" t="e">
        <f t="shared" ca="1" si="4"/>
        <v>#NAME?</v>
      </c>
      <c r="K43" s="26"/>
      <c r="L43" s="26"/>
      <c r="M43" s="26"/>
      <c r="N43" s="26"/>
      <c r="O43" s="26"/>
      <c r="P43" s="26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s="25" customFormat="1" x14ac:dyDescent="0.45">
      <c r="A44" s="18"/>
      <c r="B44" s="19"/>
      <c r="C44" s="20"/>
      <c r="D44" s="20"/>
      <c r="E44" s="22" t="s">
        <v>927</v>
      </c>
      <c r="F44" s="22" t="s">
        <v>933</v>
      </c>
      <c r="G44" s="23" t="e">
        <f ca="1">[1]!s2m(E44)</f>
        <v>#NAME?</v>
      </c>
      <c r="H44" s="22" t="e">
        <f ca="1">[1]!s2m(F44)</f>
        <v>#NAME?</v>
      </c>
      <c r="I44" s="40" t="e">
        <f t="shared" ca="1" si="4"/>
        <v>#NAME?</v>
      </c>
      <c r="K44" s="26"/>
      <c r="L44" s="26"/>
      <c r="M44" s="26"/>
      <c r="N44" s="26"/>
      <c r="O44" s="26"/>
      <c r="P44" s="26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s="25" customFormat="1" x14ac:dyDescent="0.45">
      <c r="A45" s="18"/>
      <c r="B45" s="19"/>
      <c r="C45" s="20"/>
      <c r="D45" s="20"/>
      <c r="E45" s="22" t="s">
        <v>928</v>
      </c>
      <c r="F45" s="22" t="s">
        <v>934</v>
      </c>
      <c r="G45" s="23" t="e">
        <f ca="1">[1]!s2m(E45)</f>
        <v>#NAME?</v>
      </c>
      <c r="H45" s="22" t="e">
        <f ca="1">[1]!s2m(F45)</f>
        <v>#NAME?</v>
      </c>
      <c r="I45" s="40" t="e">
        <f t="shared" ca="1" si="4"/>
        <v>#NAME?</v>
      </c>
      <c r="K45" s="26"/>
      <c r="L45" s="26"/>
      <c r="M45" s="26"/>
      <c r="N45" s="26"/>
      <c r="O45" s="26"/>
      <c r="P45" s="26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s="25" customFormat="1" x14ac:dyDescent="0.45">
      <c r="A46" s="18"/>
      <c r="B46" s="19"/>
      <c r="C46" s="20"/>
      <c r="D46" s="20"/>
      <c r="E46" s="22" t="s">
        <v>929</v>
      </c>
      <c r="F46" s="22" t="s">
        <v>935</v>
      </c>
      <c r="G46" s="23" t="e">
        <f ca="1">[1]!s2m(E46)</f>
        <v>#NAME?</v>
      </c>
      <c r="H46" s="22" t="e">
        <f ca="1">[1]!s2m(F46)</f>
        <v>#NAME?</v>
      </c>
      <c r="I46" s="40" t="e">
        <f t="shared" ca="1" si="4"/>
        <v>#NAME?</v>
      </c>
      <c r="K46" s="26"/>
      <c r="L46" s="26"/>
      <c r="M46" s="26"/>
      <c r="N46" s="26"/>
      <c r="O46" s="26"/>
      <c r="P46" s="26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25" customFormat="1" x14ac:dyDescent="0.45">
      <c r="A47" s="18"/>
      <c r="B47" s="19"/>
      <c r="C47" s="20"/>
      <c r="D47" s="20"/>
      <c r="E47" s="22" t="s">
        <v>936</v>
      </c>
      <c r="F47" s="22" t="s">
        <v>943</v>
      </c>
      <c r="G47" s="23" t="e">
        <f ca="1">[1]!s2m(E47)</f>
        <v>#NAME?</v>
      </c>
      <c r="H47" s="22" t="e">
        <f ca="1">[1]!s2m(F47)</f>
        <v>#NAME?</v>
      </c>
      <c r="I47" s="40" t="e">
        <f t="shared" ca="1" si="4"/>
        <v>#NAME?</v>
      </c>
      <c r="K47" s="26"/>
      <c r="L47" s="26"/>
      <c r="M47" s="26"/>
      <c r="N47" s="26"/>
      <c r="O47" s="26"/>
      <c r="P47" s="26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s="25" customFormat="1" x14ac:dyDescent="0.45">
      <c r="A48" s="18"/>
      <c r="B48" s="19"/>
      <c r="C48" s="20"/>
      <c r="D48" s="20"/>
      <c r="E48" s="22" t="s">
        <v>937</v>
      </c>
      <c r="F48" s="22" t="s">
        <v>944</v>
      </c>
      <c r="G48" s="23" t="e">
        <f ca="1">[1]!s2m(E48)</f>
        <v>#NAME?</v>
      </c>
      <c r="H48" s="22" t="e">
        <f ca="1">[1]!s2m(F48)</f>
        <v>#NAME?</v>
      </c>
      <c r="I48" s="40" t="e">
        <f t="shared" ca="1" si="4"/>
        <v>#NAME?</v>
      </c>
      <c r="K48" s="26"/>
      <c r="L48" s="26"/>
      <c r="M48" s="26"/>
      <c r="N48" s="26"/>
      <c r="O48" s="26"/>
      <c r="P48" s="26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s="25" customFormat="1" x14ac:dyDescent="0.45">
      <c r="A49" s="18"/>
      <c r="B49" s="19"/>
      <c r="C49" s="20"/>
      <c r="D49" s="20"/>
      <c r="E49" s="22" t="s">
        <v>681</v>
      </c>
      <c r="F49" s="22" t="s">
        <v>945</v>
      </c>
      <c r="G49" s="23" t="e">
        <f ca="1">[1]!s2m(E49)</f>
        <v>#NAME?</v>
      </c>
      <c r="H49" s="22" t="e">
        <f ca="1">[1]!s2m(F49)</f>
        <v>#NAME?</v>
      </c>
      <c r="I49" s="40" t="e">
        <f t="shared" ca="1" si="4"/>
        <v>#NAME?</v>
      </c>
      <c r="K49" s="26"/>
      <c r="L49" s="26"/>
      <c r="M49" s="26"/>
      <c r="N49" s="26"/>
      <c r="O49" s="26"/>
      <c r="P49" s="26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s="25" customFormat="1" x14ac:dyDescent="0.45">
      <c r="A50" s="18"/>
      <c r="B50" s="19"/>
      <c r="C50" s="20"/>
      <c r="D50" s="20"/>
      <c r="E50" s="22" t="s">
        <v>938</v>
      </c>
      <c r="F50" s="22" t="s">
        <v>946</v>
      </c>
      <c r="G50" s="23" t="e">
        <f ca="1">[1]!s2m(E50)</f>
        <v>#NAME?</v>
      </c>
      <c r="H50" s="22" t="e">
        <f ca="1">[1]!s2m(F50)</f>
        <v>#NAME?</v>
      </c>
      <c r="I50" s="40" t="e">
        <f t="shared" ca="1" si="4"/>
        <v>#NAME?</v>
      </c>
      <c r="K50" s="26"/>
      <c r="L50" s="26"/>
      <c r="M50" s="26"/>
      <c r="N50" s="26"/>
      <c r="O50" s="26"/>
      <c r="P50" s="26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s="25" customFormat="1" x14ac:dyDescent="0.45">
      <c r="A51" s="18"/>
      <c r="B51" s="19"/>
      <c r="C51" s="20"/>
      <c r="D51" s="20"/>
      <c r="E51" s="22" t="s">
        <v>939</v>
      </c>
      <c r="F51" s="22" t="s">
        <v>947</v>
      </c>
      <c r="G51" s="23" t="e">
        <f ca="1">[1]!s2m(E51)</f>
        <v>#NAME?</v>
      </c>
      <c r="H51" s="22" t="e">
        <f ca="1">[1]!s2m(F51)</f>
        <v>#NAME?</v>
      </c>
      <c r="I51" s="40" t="e">
        <f t="shared" ca="1" si="4"/>
        <v>#NAME?</v>
      </c>
      <c r="K51" s="26"/>
      <c r="L51" s="26"/>
      <c r="M51" s="26"/>
      <c r="N51" s="26"/>
      <c r="O51" s="26"/>
      <c r="P51" s="26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s="25" customFormat="1" x14ac:dyDescent="0.45">
      <c r="A52" s="18"/>
      <c r="B52" s="19"/>
      <c r="C52" s="20"/>
      <c r="D52" s="20"/>
      <c r="E52" s="22" t="s">
        <v>940</v>
      </c>
      <c r="F52" s="22" t="s">
        <v>948</v>
      </c>
      <c r="G52" s="23" t="e">
        <f ca="1">[1]!s2m(E52)</f>
        <v>#NAME?</v>
      </c>
      <c r="H52" s="22" t="e">
        <f ca="1">[1]!s2m(F52)</f>
        <v>#NAME?</v>
      </c>
      <c r="I52" s="40" t="e">
        <f t="shared" ca="1" si="4"/>
        <v>#NAME?</v>
      </c>
      <c r="K52" s="26"/>
      <c r="L52" s="26"/>
      <c r="M52" s="26"/>
      <c r="N52" s="26"/>
      <c r="O52" s="26"/>
      <c r="P52" s="26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s="25" customFormat="1" x14ac:dyDescent="0.45">
      <c r="A53" s="18"/>
      <c r="B53" s="19"/>
      <c r="C53" s="20"/>
      <c r="D53" s="20"/>
      <c r="E53" s="22" t="s">
        <v>941</v>
      </c>
      <c r="F53" s="22" t="s">
        <v>949</v>
      </c>
      <c r="G53" s="23" t="e">
        <f ca="1">[1]!s2m(E53)</f>
        <v>#NAME?</v>
      </c>
      <c r="H53" s="22" t="e">
        <f ca="1">[1]!s2m(F53)</f>
        <v>#NAME?</v>
      </c>
      <c r="I53" s="40" t="e">
        <f t="shared" ca="1" si="4"/>
        <v>#NAME?</v>
      </c>
      <c r="K53" s="26"/>
      <c r="L53" s="26"/>
      <c r="M53" s="26"/>
      <c r="N53" s="26"/>
      <c r="O53" s="26"/>
      <c r="P53" s="26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s="25" customFormat="1" x14ac:dyDescent="0.45">
      <c r="A54" s="18"/>
      <c r="B54" s="19"/>
      <c r="C54" s="20"/>
      <c r="D54" s="20"/>
      <c r="E54" s="22" t="s">
        <v>942</v>
      </c>
      <c r="F54" s="22" t="s">
        <v>950</v>
      </c>
      <c r="G54" s="23" t="e">
        <f ca="1">[1]!s2m(E54)</f>
        <v>#NAME?</v>
      </c>
      <c r="H54" s="22" t="e">
        <f ca="1">[1]!s2m(F54)</f>
        <v>#NAME?</v>
      </c>
      <c r="I54" s="40" t="e">
        <f t="shared" ca="1" si="4"/>
        <v>#NAME?</v>
      </c>
      <c r="K54" s="26"/>
      <c r="L54" s="26"/>
      <c r="M54" s="26"/>
      <c r="N54" s="26"/>
      <c r="O54" s="26"/>
      <c r="P54" s="26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s="25" customFormat="1" x14ac:dyDescent="0.45">
      <c r="A55" s="18"/>
      <c r="B55" s="19"/>
      <c r="C55" s="20"/>
      <c r="D55" s="20"/>
      <c r="E55" s="22" t="s">
        <v>938</v>
      </c>
      <c r="F55" s="22" t="s">
        <v>946</v>
      </c>
      <c r="G55" s="23" t="e">
        <f ca="1">[1]!s2m(E55)</f>
        <v>#NAME?</v>
      </c>
      <c r="H55" s="22" t="e">
        <f ca="1">[1]!s2m(F55)</f>
        <v>#NAME?</v>
      </c>
      <c r="I55" s="40" t="e">
        <f t="shared" ca="1" si="4"/>
        <v>#NAME?</v>
      </c>
      <c r="K55" s="26"/>
      <c r="L55" s="26"/>
      <c r="M55" s="26"/>
      <c r="N55" s="26"/>
      <c r="O55" s="26"/>
      <c r="P55" s="26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s="25" customFormat="1" x14ac:dyDescent="0.45">
      <c r="A56" s="18"/>
      <c r="B56" s="19"/>
      <c r="C56" s="20"/>
      <c r="D56" s="20"/>
      <c r="E56" s="22" t="s">
        <v>942</v>
      </c>
      <c r="F56" s="22" t="s">
        <v>950</v>
      </c>
      <c r="G56" s="23" t="e">
        <f ca="1">[1]!s2m(E56)</f>
        <v>#NAME?</v>
      </c>
      <c r="H56" s="22" t="e">
        <f ca="1">[1]!s2m(F56)</f>
        <v>#NAME?</v>
      </c>
      <c r="I56" s="40" t="e">
        <f t="shared" ca="1" si="4"/>
        <v>#NAME?</v>
      </c>
      <c r="K56" s="26"/>
      <c r="L56" s="26"/>
      <c r="M56" s="26"/>
      <c r="N56" s="26"/>
      <c r="O56" s="26"/>
      <c r="P56" s="26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</sheetData>
  <mergeCells count="49"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B8:B12"/>
    <mergeCell ref="A8:A12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O9:O10"/>
    <mergeCell ref="P9:P10"/>
    <mergeCell ref="E8:F9"/>
    <mergeCell ref="D8:D12"/>
    <mergeCell ref="C8:C12"/>
    <mergeCell ref="Q11:Q12"/>
    <mergeCell ref="R11:R12"/>
    <mergeCell ref="G8:H9"/>
    <mergeCell ref="H10:H12"/>
    <mergeCell ref="E10:E12"/>
    <mergeCell ref="F10:F12"/>
    <mergeCell ref="G10:G12"/>
    <mergeCell ref="I8:P8"/>
    <mergeCell ref="Q8:Q10"/>
    <mergeCell ref="R8:R10"/>
    <mergeCell ref="I9:I10"/>
    <mergeCell ref="J9:J10"/>
    <mergeCell ref="K9:K10"/>
    <mergeCell ref="L9:L10"/>
    <mergeCell ref="M9:M10"/>
    <mergeCell ref="N9:N10"/>
  </mergeCells>
  <conditionalFormatting sqref="B13:B19">
    <cfRule type="cellIs" dxfId="62" priority="3" operator="equal">
      <formula>"Delete"</formula>
    </cfRule>
    <cfRule type="cellIs" dxfId="61" priority="8" operator="equal">
      <formula>"On time"</formula>
    </cfRule>
    <cfRule type="cellIs" dxfId="60" priority="9" operator="equal">
      <formula>"Delay"</formula>
    </cfRule>
    <cfRule type="cellIs" dxfId="59" priority="11" operator="equal">
      <formula>"Inprogress"</formula>
    </cfRule>
    <cfRule type="cellIs" dxfId="58" priority="12" operator="equal">
      <formula>"Ahead of schedule"</formula>
    </cfRule>
  </conditionalFormatting>
  <conditionalFormatting sqref="B6:D6">
    <cfRule type="cellIs" dxfId="57" priority="10" operator="equal">
      <formula>"Delay"</formula>
    </cfRule>
  </conditionalFormatting>
  <conditionalFormatting sqref="I13:R19">
    <cfRule type="cellIs" dxfId="56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{9B9ACF9E-71FB-4361-9B0C-2CFDC85318B6}</x14:id>
        </ext>
      </extLst>
    </cfRule>
  </conditionalFormatting>
  <conditionalFormatting sqref="Q13:R19">
    <cfRule type="cellIs" dxfId="55" priority="5" operator="between">
      <formula>0.01</formula>
      <formula>0.99</formula>
    </cfRule>
    <cfRule type="cellIs" dxfId="54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9ACF9E-71FB-4361-9B0C-2CFDC85318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5A05-EC24-4B76-A540-7137BBDBA236}">
  <sheetPr>
    <tabColor theme="5" tint="-0.249977111117893"/>
  </sheetPr>
  <dimension ref="A1:V10"/>
  <sheetViews>
    <sheetView workbookViewId="0">
      <selection activeCell="C17" sqref="C17"/>
    </sheetView>
  </sheetViews>
  <sheetFormatPr defaultRowHeight="21.4" x14ac:dyDescent="0.45"/>
  <cols>
    <col min="1" max="1" width="8.53125" style="145" bestFit="1" customWidth="1"/>
    <col min="2" max="2" width="13.59765625" style="145" bestFit="1" customWidth="1"/>
    <col min="3" max="3" width="86.59765625" style="145" bestFit="1" customWidth="1"/>
    <col min="4" max="4" width="10.1328125" style="145" bestFit="1" customWidth="1"/>
    <col min="5" max="5" width="14.265625" style="145" bestFit="1" customWidth="1"/>
    <col min="6" max="6" width="13.73046875" style="145" bestFit="1" customWidth="1"/>
    <col min="7" max="7" width="21.19921875" style="145" bestFit="1" customWidth="1"/>
    <col min="8" max="8" width="20.59765625" style="145" bestFit="1" customWidth="1"/>
    <col min="9" max="12" width="20.59765625" style="145" customWidth="1"/>
    <col min="13" max="13" width="6" style="145" bestFit="1" customWidth="1"/>
    <col min="14" max="14" width="13.53125" style="145" bestFit="1" customWidth="1"/>
    <col min="15" max="16" width="12.73046875" style="145" bestFit="1" customWidth="1"/>
    <col min="17" max="17" width="14.46484375" style="145" bestFit="1" customWidth="1"/>
    <col min="18" max="18" width="9.73046875" style="145" bestFit="1" customWidth="1"/>
    <col min="19" max="19" width="13.06640625" style="145" bestFit="1" customWidth="1"/>
    <col min="20" max="20" width="9.86328125" style="145" bestFit="1" customWidth="1"/>
    <col min="21" max="21" width="12.3984375" style="145" bestFit="1" customWidth="1"/>
    <col min="22" max="22" width="9.86328125" style="145" bestFit="1" customWidth="1"/>
    <col min="23" max="16384" width="9.06640625" style="145"/>
  </cols>
  <sheetData>
    <row r="1" spans="1:22" x14ac:dyDescent="0.45">
      <c r="A1" s="147" t="s">
        <v>956</v>
      </c>
      <c r="B1" s="147" t="s">
        <v>1101</v>
      </c>
      <c r="C1" s="147" t="s">
        <v>1102</v>
      </c>
      <c r="D1" s="147" t="s">
        <v>1128</v>
      </c>
      <c r="E1" s="147" t="s">
        <v>1105</v>
      </c>
      <c r="F1" s="147" t="s">
        <v>1106</v>
      </c>
      <c r="G1" s="147" t="s">
        <v>1109</v>
      </c>
      <c r="H1" s="147" t="s">
        <v>1110</v>
      </c>
      <c r="I1" s="148" t="s">
        <v>1107</v>
      </c>
      <c r="J1" s="148" t="s">
        <v>1108</v>
      </c>
      <c r="K1" s="148" t="s">
        <v>1111</v>
      </c>
      <c r="L1" s="148" t="s">
        <v>1112</v>
      </c>
      <c r="M1" s="146" t="s">
        <v>1104</v>
      </c>
      <c r="N1" s="146" t="s">
        <v>981</v>
      </c>
      <c r="O1" s="146" t="s">
        <v>1129</v>
      </c>
      <c r="P1" s="146" t="s">
        <v>965</v>
      </c>
      <c r="Q1" s="146" t="s">
        <v>1130</v>
      </c>
      <c r="R1" s="146" t="s">
        <v>971</v>
      </c>
      <c r="S1" s="146" t="s">
        <v>1131</v>
      </c>
      <c r="T1" s="146" t="s">
        <v>968</v>
      </c>
      <c r="U1" s="146" t="s">
        <v>1132</v>
      </c>
      <c r="V1" s="146" t="s">
        <v>970</v>
      </c>
    </row>
    <row r="2" spans="1:22" ht="21.4" customHeight="1" x14ac:dyDescent="0.45">
      <c r="A2" s="147"/>
      <c r="B2" s="147"/>
      <c r="C2" s="147"/>
      <c r="D2" s="147"/>
      <c r="E2" s="147"/>
      <c r="F2" s="147"/>
      <c r="G2" s="147"/>
      <c r="H2" s="147"/>
      <c r="I2" s="150"/>
      <c r="J2" s="150"/>
      <c r="K2" s="150"/>
      <c r="L2" s="150"/>
      <c r="M2" s="151">
        <v>0.15</v>
      </c>
      <c r="N2" s="151">
        <v>0.05</v>
      </c>
      <c r="O2" s="151">
        <v>0.1</v>
      </c>
      <c r="P2" s="151">
        <v>0.15</v>
      </c>
      <c r="Q2" s="151">
        <v>0.1</v>
      </c>
      <c r="R2" s="151">
        <v>0.15</v>
      </c>
      <c r="S2" s="151">
        <v>0.15</v>
      </c>
      <c r="T2" s="151">
        <v>0.15</v>
      </c>
      <c r="U2" s="152">
        <v>0.2767857142857143</v>
      </c>
      <c r="V2" s="152">
        <v>0.36428571428571438</v>
      </c>
    </row>
    <row r="3" spans="1:22" ht="28.5" customHeight="1" x14ac:dyDescent="0.45">
      <c r="A3" s="147"/>
      <c r="B3" s="147"/>
      <c r="C3" s="147"/>
      <c r="D3" s="147"/>
      <c r="E3" s="147"/>
      <c r="F3" s="147"/>
      <c r="G3" s="147"/>
      <c r="H3" s="147"/>
      <c r="I3" s="149"/>
      <c r="J3" s="149"/>
      <c r="K3" s="149"/>
      <c r="L3" s="149"/>
      <c r="M3" s="151">
        <v>0</v>
      </c>
      <c r="N3" s="151">
        <v>0.05</v>
      </c>
      <c r="O3" s="151">
        <v>0.1</v>
      </c>
      <c r="P3" s="151">
        <v>0.15</v>
      </c>
      <c r="Q3" s="151">
        <v>0.11</v>
      </c>
      <c r="R3" s="151">
        <v>0.2</v>
      </c>
      <c r="S3" s="151">
        <v>0.24</v>
      </c>
      <c r="T3" s="151">
        <v>0.15</v>
      </c>
      <c r="U3" s="153"/>
      <c r="V3" s="153"/>
    </row>
    <row r="4" spans="1:22" ht="28.5" customHeight="1" x14ac:dyDescent="0.45">
      <c r="A4" s="146">
        <v>7852</v>
      </c>
      <c r="B4" s="146" t="s">
        <v>150</v>
      </c>
      <c r="C4" s="146" t="s">
        <v>1028</v>
      </c>
      <c r="D4" s="146" t="s">
        <v>963</v>
      </c>
      <c r="E4" s="146" t="s">
        <v>1013</v>
      </c>
      <c r="F4" s="146" t="s">
        <v>997</v>
      </c>
      <c r="G4" s="151" t="str" cm="1">
        <f t="array" ref="G4">[2]!s2m(E4)</f>
        <v>2025/9/15</v>
      </c>
      <c r="H4" s="146" t="str" cm="1">
        <f t="array" ref="H4">[2]!s2m(F4)</f>
        <v>2025/10/6</v>
      </c>
      <c r="I4" s="146" t="s">
        <v>1013</v>
      </c>
      <c r="J4" s="146" t="s">
        <v>1082</v>
      </c>
      <c r="K4" s="146" t="str" cm="1">
        <f t="array" ref="K4">[2]!s2m(I4)</f>
        <v>2025/9/15</v>
      </c>
      <c r="L4" s="146" t="str" cm="1">
        <f t="array" ref="L4">[2]!s2m(J4)</f>
        <v>2025/9/25</v>
      </c>
      <c r="M4" s="151">
        <v>1</v>
      </c>
      <c r="N4" s="151">
        <v>1</v>
      </c>
      <c r="O4" s="151">
        <v>1</v>
      </c>
      <c r="P4" s="151">
        <v>1</v>
      </c>
      <c r="Q4" s="151">
        <v>1</v>
      </c>
      <c r="R4" s="151">
        <v>1</v>
      </c>
      <c r="S4" s="151">
        <v>1</v>
      </c>
      <c r="T4" s="151">
        <v>1</v>
      </c>
      <c r="U4" s="151">
        <v>1</v>
      </c>
      <c r="V4" s="151">
        <v>1</v>
      </c>
    </row>
    <row r="5" spans="1:22" x14ac:dyDescent="0.45">
      <c r="A5" s="146">
        <v>7886</v>
      </c>
      <c r="B5" s="146" t="s">
        <v>151</v>
      </c>
      <c r="C5" s="146" t="s">
        <v>1044</v>
      </c>
      <c r="D5" s="146" t="s">
        <v>963</v>
      </c>
      <c r="E5" s="146" t="s">
        <v>952</v>
      </c>
      <c r="F5" s="146" t="s">
        <v>997</v>
      </c>
      <c r="G5" s="151" t="str" cm="1">
        <f t="array" ref="G5">[2]!s2m(E5)</f>
        <v>2025/8/15</v>
      </c>
      <c r="H5" s="146" t="str" cm="1">
        <f t="array" ref="H5">[2]!s2m(F5)</f>
        <v>2025/10/6</v>
      </c>
      <c r="I5" s="146" t="s">
        <v>952</v>
      </c>
      <c r="J5" s="146"/>
      <c r="K5" s="146" t="str" cm="1">
        <f t="array" ref="K5">[2]!s2m(I5)</f>
        <v>2025/8/15</v>
      </c>
      <c r="L5" s="146"/>
      <c r="M5" s="151">
        <v>1</v>
      </c>
      <c r="N5" s="151">
        <v>1</v>
      </c>
      <c r="O5" s="151">
        <v>1</v>
      </c>
      <c r="P5" s="151">
        <v>1</v>
      </c>
      <c r="Q5" s="151">
        <v>1</v>
      </c>
      <c r="R5" s="151">
        <v>1</v>
      </c>
      <c r="S5" s="151">
        <v>1</v>
      </c>
      <c r="T5" s="151">
        <v>0</v>
      </c>
      <c r="U5" s="151">
        <v>0.8125</v>
      </c>
      <c r="V5" s="151">
        <v>0.85000000000000009</v>
      </c>
    </row>
    <row r="6" spans="1:22" x14ac:dyDescent="0.45">
      <c r="A6" s="146">
        <v>7853</v>
      </c>
      <c r="B6" s="146" t="s">
        <v>151</v>
      </c>
      <c r="C6" s="146" t="s">
        <v>1027</v>
      </c>
      <c r="D6" s="146" t="s">
        <v>963</v>
      </c>
      <c r="E6" s="146" t="s">
        <v>1080</v>
      </c>
      <c r="F6" s="146" t="s">
        <v>997</v>
      </c>
      <c r="G6" s="151" t="str" cm="1">
        <f t="array" ref="G6">[2]!s2m(E6)</f>
        <v>2025/9/8</v>
      </c>
      <c r="H6" s="146" t="str" cm="1">
        <f t="array" ref="H6">[2]!s2m(F6)</f>
        <v>2025/10/6</v>
      </c>
      <c r="I6" s="146" t="s">
        <v>1080</v>
      </c>
      <c r="J6" s="146"/>
      <c r="K6" s="146" t="str" cm="1">
        <f t="array" ref="K6">[2]!s2m(I6)</f>
        <v>2025/9/8</v>
      </c>
      <c r="L6" s="146"/>
      <c r="M6" s="151">
        <v>1</v>
      </c>
      <c r="N6" s="151">
        <v>1</v>
      </c>
      <c r="O6" s="151">
        <v>0</v>
      </c>
      <c r="P6" s="151">
        <v>0</v>
      </c>
      <c r="Q6" s="151">
        <v>0</v>
      </c>
      <c r="R6" s="151">
        <v>0</v>
      </c>
      <c r="S6" s="151">
        <v>0</v>
      </c>
      <c r="T6" s="151">
        <v>0</v>
      </c>
      <c r="U6" s="151">
        <v>0</v>
      </c>
      <c r="V6" s="151">
        <v>0.2</v>
      </c>
    </row>
    <row r="7" spans="1:22" x14ac:dyDescent="0.45">
      <c r="A7" s="146">
        <v>7885</v>
      </c>
      <c r="B7" s="146" t="s">
        <v>151</v>
      </c>
      <c r="C7" s="146" t="s">
        <v>1045</v>
      </c>
      <c r="D7" s="146" t="s">
        <v>963</v>
      </c>
      <c r="E7" s="146" t="s">
        <v>1015</v>
      </c>
      <c r="F7" s="146" t="s">
        <v>997</v>
      </c>
      <c r="G7" s="151" t="str" cm="1">
        <f t="array" ref="G7">[2]!s2m(E7)</f>
        <v>2025/9/20</v>
      </c>
      <c r="H7" s="146" t="str" cm="1">
        <f t="array" ref="H7">[2]!s2m(F7)</f>
        <v>2025/10/6</v>
      </c>
      <c r="I7" s="146" t="s">
        <v>1098</v>
      </c>
      <c r="J7" s="146"/>
      <c r="K7" s="146" t="str" cm="1">
        <f t="array" ref="K7">[2]!s2m(I7)</f>
        <v>2025/9/28</v>
      </c>
      <c r="L7" s="146"/>
      <c r="M7" s="151">
        <v>1</v>
      </c>
      <c r="N7" s="151">
        <v>1</v>
      </c>
      <c r="O7" s="151">
        <v>0</v>
      </c>
      <c r="P7" s="151">
        <v>0</v>
      </c>
      <c r="Q7" s="151">
        <v>0</v>
      </c>
      <c r="R7" s="151">
        <v>0</v>
      </c>
      <c r="S7" s="151">
        <v>0</v>
      </c>
      <c r="T7" s="151">
        <v>0</v>
      </c>
      <c r="U7" s="151">
        <v>0</v>
      </c>
      <c r="V7" s="151">
        <v>0.2</v>
      </c>
    </row>
    <row r="8" spans="1:22" x14ac:dyDescent="0.45">
      <c r="A8" s="146">
        <v>7848</v>
      </c>
      <c r="B8" s="146" t="s">
        <v>151</v>
      </c>
      <c r="C8" s="146" t="s">
        <v>1030</v>
      </c>
      <c r="D8" s="146" t="s">
        <v>963</v>
      </c>
      <c r="E8" s="146" t="s">
        <v>1074</v>
      </c>
      <c r="F8" s="146" t="s">
        <v>1093</v>
      </c>
      <c r="G8" s="151" t="str" cm="1">
        <f t="array" ref="G8">[2]!s2m(E8)</f>
        <v>2025/9/26</v>
      </c>
      <c r="H8" s="146" t="str" cm="1">
        <f t="array" ref="H8">[2]!s2m(F8)</f>
        <v>2025/10/16</v>
      </c>
      <c r="I8" s="146" t="s">
        <v>1074</v>
      </c>
      <c r="J8" s="146"/>
      <c r="K8" s="146" t="str" cm="1">
        <f t="array" ref="K8">[2]!s2m(I8)</f>
        <v>2025/9/26</v>
      </c>
      <c r="L8" s="146"/>
      <c r="M8" s="151">
        <v>1</v>
      </c>
      <c r="N8" s="151">
        <v>1</v>
      </c>
      <c r="O8" s="151">
        <v>1</v>
      </c>
      <c r="P8" s="151">
        <v>0</v>
      </c>
      <c r="Q8" s="151">
        <v>0</v>
      </c>
      <c r="R8" s="151">
        <v>0</v>
      </c>
      <c r="S8" s="151">
        <v>0</v>
      </c>
      <c r="T8" s="151">
        <v>0</v>
      </c>
      <c r="U8" s="151">
        <v>0.125</v>
      </c>
      <c r="V8" s="151">
        <v>0.30000000000000004</v>
      </c>
    </row>
    <row r="9" spans="1:22" x14ac:dyDescent="0.45">
      <c r="A9" s="146">
        <v>7851</v>
      </c>
      <c r="B9" s="146" t="s">
        <v>151</v>
      </c>
      <c r="C9" s="146" t="s">
        <v>1029</v>
      </c>
      <c r="D9" s="146" t="s">
        <v>989</v>
      </c>
      <c r="E9" s="146"/>
      <c r="F9" s="146" t="s">
        <v>1078</v>
      </c>
      <c r="G9" s="151"/>
      <c r="H9" s="146" t="str" cm="1">
        <f t="array" ref="H9">[2]!s2m(F9)</f>
        <v>2025/10/3</v>
      </c>
      <c r="I9" s="146"/>
      <c r="J9" s="146"/>
      <c r="K9" s="146"/>
      <c r="L9" s="146"/>
      <c r="M9" s="151"/>
      <c r="N9" s="151">
        <v>0</v>
      </c>
      <c r="O9" s="151">
        <v>0</v>
      </c>
      <c r="P9" s="151">
        <v>0</v>
      </c>
      <c r="Q9" s="151">
        <v>0</v>
      </c>
      <c r="R9" s="151">
        <v>0</v>
      </c>
      <c r="S9" s="151">
        <v>0</v>
      </c>
      <c r="T9" s="151">
        <v>0</v>
      </c>
      <c r="U9" s="151">
        <v>0</v>
      </c>
      <c r="V9" s="151">
        <v>0</v>
      </c>
    </row>
    <row r="10" spans="1:22" x14ac:dyDescent="0.45">
      <c r="A10" s="146">
        <v>8061</v>
      </c>
      <c r="B10" s="146" t="s">
        <v>151</v>
      </c>
      <c r="C10" s="146" t="s">
        <v>1034</v>
      </c>
      <c r="D10" s="146" t="s">
        <v>989</v>
      </c>
      <c r="E10" s="146"/>
      <c r="F10" s="146" t="s">
        <v>1015</v>
      </c>
      <c r="G10" s="151"/>
      <c r="H10" s="146" t="str" cm="1">
        <f t="array" ref="H10">[2]!s2m(F10)</f>
        <v>2025/9/20</v>
      </c>
      <c r="I10" s="146"/>
      <c r="J10" s="146"/>
      <c r="K10" s="146"/>
      <c r="L10" s="146"/>
      <c r="M10" s="151"/>
      <c r="N10" s="151">
        <v>0</v>
      </c>
      <c r="O10" s="151">
        <v>0</v>
      </c>
      <c r="P10" s="151">
        <v>0</v>
      </c>
      <c r="Q10" s="151">
        <v>0</v>
      </c>
      <c r="R10" s="151">
        <v>0</v>
      </c>
      <c r="S10" s="151">
        <v>0</v>
      </c>
      <c r="T10" s="151">
        <v>0</v>
      </c>
      <c r="U10" s="151">
        <v>0</v>
      </c>
      <c r="V10" s="151">
        <v>0</v>
      </c>
    </row>
  </sheetData>
  <mergeCells count="14">
    <mergeCell ref="J1:J3"/>
    <mergeCell ref="K1:K3"/>
    <mergeCell ref="L1:L3"/>
    <mergeCell ref="V2:V3"/>
    <mergeCell ref="U2:U3"/>
    <mergeCell ref="A1:A3"/>
    <mergeCell ref="B1:B3"/>
    <mergeCell ref="C1:C3"/>
    <mergeCell ref="D1:D3"/>
    <mergeCell ref="E1:E3"/>
    <mergeCell ref="F1:F3"/>
    <mergeCell ref="G1:G3"/>
    <mergeCell ref="H1:H3"/>
    <mergeCell ref="I1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5" tint="-0.249977111117893"/>
  </sheetPr>
  <dimension ref="A1:AA58"/>
  <sheetViews>
    <sheetView view="pageBreakPreview" zoomScale="40" zoomScaleNormal="55" zoomScaleSheetLayoutView="40" zoomScalePageLayoutView="40" workbookViewId="0">
      <selection activeCell="Q6" sqref="Q6:R7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19" width="12.265625" style="22" customWidth="1"/>
    <col min="20" max="16384" width="9.1328125" style="22"/>
  </cols>
  <sheetData>
    <row r="1" spans="1:27" ht="16.149999999999999" thickBot="1" x14ac:dyDescent="0.5"/>
    <row r="2" spans="1:27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27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27" customFormat="1" ht="19.7" customHeight="1" x14ac:dyDescent="0.4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27" customFormat="1" ht="19.7" customHeight="1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AA5" s="6"/>
    </row>
    <row r="6" spans="1:27" customFormat="1" ht="22.5" customHeight="1" x14ac:dyDescent="0.45">
      <c r="A6" s="32" t="s">
        <v>152</v>
      </c>
      <c r="B6" s="131"/>
      <c r="C6" s="131"/>
      <c r="D6" s="34"/>
      <c r="E6" s="101" t="s">
        <v>1076</v>
      </c>
      <c r="F6" s="101"/>
      <c r="G6" s="101"/>
      <c r="H6" s="75" t="s">
        <v>921</v>
      </c>
      <c r="I6" s="75"/>
      <c r="J6" s="75"/>
      <c r="K6" s="75">
        <f>COUNTIF(B13:B21,"On time")</f>
        <v>4</v>
      </c>
      <c r="L6" s="75"/>
      <c r="M6" s="75"/>
      <c r="N6" s="120">
        <f>COUNTIF(B15:B21,"Inprogress")</f>
        <v>5</v>
      </c>
      <c r="O6" s="121"/>
      <c r="P6" s="122"/>
      <c r="Q6" s="109" t="s">
        <v>1098</v>
      </c>
      <c r="R6" s="109"/>
    </row>
    <row r="7" spans="1:27" customFormat="1" ht="24.75" customHeight="1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</row>
    <row r="8" spans="1:27" customFormat="1" ht="37.700000000000003" customHeight="1" x14ac:dyDescent="0.45">
      <c r="A8" s="142" t="s">
        <v>956</v>
      </c>
      <c r="B8" s="142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</row>
    <row r="9" spans="1:27" customFormat="1" ht="26.25" customHeight="1" x14ac:dyDescent="0.45">
      <c r="A9" s="143"/>
      <c r="B9" s="143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</row>
    <row r="10" spans="1:27" customFormat="1" ht="36.4" customHeight="1" x14ac:dyDescent="0.45">
      <c r="A10" s="143"/>
      <c r="B10" s="143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</row>
    <row r="11" spans="1:27" customFormat="1" ht="40.5" customHeight="1" x14ac:dyDescent="0.45">
      <c r="A11" s="143"/>
      <c r="B11" s="143"/>
      <c r="C11" s="83"/>
      <c r="D11" s="83"/>
      <c r="E11" s="141"/>
      <c r="F11" s="141"/>
      <c r="G11" s="141"/>
      <c r="H11" s="141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137">
        <f>AVERAGE(Q13:Q21)</f>
        <v>0.67006578947368423</v>
      </c>
      <c r="R11" s="139">
        <f>AVERAGE(R13:R21)</f>
        <v>0.71277777777777784</v>
      </c>
    </row>
    <row r="12" spans="1:27" customFormat="1" ht="40.5" customHeight="1" x14ac:dyDescent="0.45">
      <c r="A12" s="144"/>
      <c r="B12" s="144"/>
      <c r="C12" s="84"/>
      <c r="D12" s="84"/>
      <c r="E12" s="86"/>
      <c r="F12" s="86"/>
      <c r="G12" s="86"/>
      <c r="H12" s="86"/>
      <c r="I12" s="56">
        <v>0</v>
      </c>
      <c r="J12" s="56">
        <v>0.05</v>
      </c>
      <c r="K12" s="56">
        <v>0.1</v>
      </c>
      <c r="L12" s="56">
        <v>0.15</v>
      </c>
      <c r="M12" s="56">
        <v>0.11</v>
      </c>
      <c r="N12" s="56">
        <v>0.2</v>
      </c>
      <c r="O12" s="56">
        <v>0.24</v>
      </c>
      <c r="P12" s="56">
        <v>0.15</v>
      </c>
      <c r="Q12" s="138"/>
      <c r="R12" s="140"/>
    </row>
    <row r="13" spans="1:27" customFormat="1" ht="65.099999999999994" customHeight="1" x14ac:dyDescent="0.45">
      <c r="A13" s="27">
        <v>7866</v>
      </c>
      <c r="B13" s="28" t="str">
        <f t="shared" ref="B13:B21" si="0">IF(R13=1,"On time","Inprogress")</f>
        <v>On time</v>
      </c>
      <c r="C13" s="43" t="s">
        <v>1018</v>
      </c>
      <c r="D13" s="42" t="s">
        <v>989</v>
      </c>
      <c r="E13" s="45"/>
      <c r="F13" s="45" t="s">
        <v>997</v>
      </c>
      <c r="G13" s="45"/>
      <c r="H13" s="45" t="s">
        <v>1074</v>
      </c>
      <c r="I13" s="49"/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>SUMPRODUCT($K$12:$P$12,K13:P13)/0.95</f>
        <v>1.0000000000000002</v>
      </c>
      <c r="R13" s="50">
        <f>SUMPRODUCT($I$12:$P$12,I13:P13)</f>
        <v>1</v>
      </c>
    </row>
    <row r="14" spans="1:27" customFormat="1" ht="65.099999999999994" customHeight="1" x14ac:dyDescent="0.45">
      <c r="A14" s="27">
        <v>7865</v>
      </c>
      <c r="B14" s="28" t="str">
        <f>IF(R14=1,"On time","Inprogress")</f>
        <v>On time</v>
      </c>
      <c r="C14" s="43" t="s">
        <v>1019</v>
      </c>
      <c r="D14" s="42" t="s">
        <v>963</v>
      </c>
      <c r="E14" s="45"/>
      <c r="F14" s="45" t="s">
        <v>1092</v>
      </c>
      <c r="G14" s="45"/>
      <c r="H14" s="45" t="s">
        <v>1092</v>
      </c>
      <c r="I14" s="49"/>
      <c r="J14" s="49">
        <v>1</v>
      </c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50">
        <f>SUMPRODUCT($K$12:$P$12,K14:P14)/0.95</f>
        <v>1.0000000000000002</v>
      </c>
      <c r="R14" s="50">
        <f>SUMPRODUCT($I$12:$P$12,I14:P14)</f>
        <v>1</v>
      </c>
    </row>
    <row r="15" spans="1:27" customFormat="1" ht="65.099999999999994" customHeight="1" x14ac:dyDescent="0.45">
      <c r="A15" s="27">
        <v>7862</v>
      </c>
      <c r="B15" s="28" t="str">
        <f>IF(R15=1,"On time","Inprogress")</f>
        <v>On time</v>
      </c>
      <c r="C15" s="43" t="s">
        <v>1021</v>
      </c>
      <c r="D15" s="42" t="s">
        <v>963</v>
      </c>
      <c r="E15" s="45" t="s">
        <v>996</v>
      </c>
      <c r="F15" s="45" t="s">
        <v>997</v>
      </c>
      <c r="G15" s="45" t="s">
        <v>996</v>
      </c>
      <c r="H15" s="45" t="s">
        <v>1082</v>
      </c>
      <c r="I15" s="49">
        <v>1</v>
      </c>
      <c r="J15" s="49">
        <v>1</v>
      </c>
      <c r="K15" s="49">
        <v>1</v>
      </c>
      <c r="L15" s="49">
        <v>1</v>
      </c>
      <c r="M15" s="49">
        <v>1</v>
      </c>
      <c r="N15" s="49">
        <v>1</v>
      </c>
      <c r="O15" s="49">
        <v>1</v>
      </c>
      <c r="P15" s="49">
        <v>1</v>
      </c>
      <c r="Q15" s="50">
        <f>SUMPRODUCT($K$11:$P$11,K15:P15)/0.8</f>
        <v>1</v>
      </c>
      <c r="R15" s="50">
        <f t="shared" ref="R15" si="1">SUMPRODUCT($I$11:$P$11,I15:P15)</f>
        <v>1</v>
      </c>
    </row>
    <row r="16" spans="1:27" customFormat="1" ht="65.099999999999994" customHeight="1" x14ac:dyDescent="0.45">
      <c r="A16" s="27">
        <v>7890</v>
      </c>
      <c r="B16" s="28" t="str">
        <f>IF(R16=1,"On time","Inprogress")</f>
        <v>On time</v>
      </c>
      <c r="C16" s="43" t="s">
        <v>1040</v>
      </c>
      <c r="D16" s="43" t="s">
        <v>963</v>
      </c>
      <c r="E16" s="45" t="s">
        <v>1073</v>
      </c>
      <c r="F16" s="45" t="s">
        <v>996</v>
      </c>
      <c r="G16" s="45" t="s">
        <v>1073</v>
      </c>
      <c r="H16" s="45" t="s">
        <v>996</v>
      </c>
      <c r="I16" s="49">
        <v>1</v>
      </c>
      <c r="J16" s="49">
        <v>1</v>
      </c>
      <c r="K16" s="49">
        <v>1</v>
      </c>
      <c r="L16" s="49">
        <v>1</v>
      </c>
      <c r="M16" s="49">
        <v>1</v>
      </c>
      <c r="N16" s="49">
        <v>1</v>
      </c>
      <c r="O16" s="49">
        <v>1</v>
      </c>
      <c r="P16" s="49">
        <v>1</v>
      </c>
      <c r="Q16" s="50">
        <f>SUMPRODUCT($K$11:$P$11,K16:P16)/0.8</f>
        <v>1</v>
      </c>
      <c r="R16" s="50">
        <f>SUMPRODUCT($I$11:$P$11,I16:P16)</f>
        <v>1</v>
      </c>
    </row>
    <row r="17" spans="1:18" customFormat="1" ht="65.099999999999994" customHeight="1" x14ac:dyDescent="0.45">
      <c r="A17" s="27">
        <v>7867</v>
      </c>
      <c r="B17" s="28" t="str">
        <f t="shared" si="0"/>
        <v>Inprogress</v>
      </c>
      <c r="C17" s="43" t="s">
        <v>1017</v>
      </c>
      <c r="D17" s="42" t="s">
        <v>963</v>
      </c>
      <c r="E17" s="45" t="s">
        <v>1063</v>
      </c>
      <c r="F17" s="45" t="s">
        <v>1086</v>
      </c>
      <c r="G17" s="45" t="s">
        <v>1063</v>
      </c>
      <c r="H17" s="45"/>
      <c r="I17" s="49">
        <v>1</v>
      </c>
      <c r="J17" s="49">
        <v>1</v>
      </c>
      <c r="K17" s="49">
        <v>1</v>
      </c>
      <c r="L17" s="49">
        <v>1</v>
      </c>
      <c r="M17" s="49">
        <v>1</v>
      </c>
      <c r="N17" s="49">
        <v>1</v>
      </c>
      <c r="O17" s="49">
        <v>0.5</v>
      </c>
      <c r="P17" s="49">
        <v>0</v>
      </c>
      <c r="Q17" s="50">
        <f>SUMPRODUCT($K$11:$P$11,K17:P17)/0.8</f>
        <v>0.71874999999999989</v>
      </c>
      <c r="R17" s="50">
        <f>SUMPRODUCT($I$11:$P$11,I17:P17)</f>
        <v>0.77500000000000002</v>
      </c>
    </row>
    <row r="18" spans="1:18" customFormat="1" ht="65.099999999999994" customHeight="1" x14ac:dyDescent="0.45">
      <c r="A18" s="27">
        <v>7860</v>
      </c>
      <c r="B18" s="28" t="str">
        <f t="shared" si="0"/>
        <v>Inprogress</v>
      </c>
      <c r="C18" s="43" t="s">
        <v>1022</v>
      </c>
      <c r="D18" s="42" t="s">
        <v>963</v>
      </c>
      <c r="E18" s="45" t="s">
        <v>1062</v>
      </c>
      <c r="F18" s="45" t="s">
        <v>997</v>
      </c>
      <c r="G18" s="45" t="s">
        <v>1062</v>
      </c>
      <c r="H18" s="45"/>
      <c r="I18" s="49">
        <v>1</v>
      </c>
      <c r="J18" s="49">
        <v>1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50">
        <f>SUMPRODUCT($K$11:$P$11,K18:P18)/0.8</f>
        <v>0</v>
      </c>
      <c r="R18" s="50">
        <f>SUMPRODUCT($I$11:$P$11,I18:P18)</f>
        <v>0.2</v>
      </c>
    </row>
    <row r="19" spans="1:18" customFormat="1" ht="65.099999999999994" customHeight="1" x14ac:dyDescent="0.45">
      <c r="A19" s="27">
        <v>7888</v>
      </c>
      <c r="B19" s="28" t="str">
        <f>IF(R19=1,"On time","Inprogress")</f>
        <v>Inprogress</v>
      </c>
      <c r="C19" s="43" t="s">
        <v>1042</v>
      </c>
      <c r="D19" s="43" t="s">
        <v>963</v>
      </c>
      <c r="E19" s="45" t="s">
        <v>1063</v>
      </c>
      <c r="F19" s="45" t="s">
        <v>997</v>
      </c>
      <c r="G19" s="45" t="s">
        <v>1063</v>
      </c>
      <c r="H19" s="45"/>
      <c r="I19" s="49">
        <v>1</v>
      </c>
      <c r="J19" s="49">
        <v>1</v>
      </c>
      <c r="K19" s="49">
        <v>1</v>
      </c>
      <c r="L19" s="49">
        <v>1</v>
      </c>
      <c r="M19" s="49">
        <v>0.5</v>
      </c>
      <c r="N19" s="49">
        <v>0</v>
      </c>
      <c r="O19" s="49">
        <v>0</v>
      </c>
      <c r="P19" s="49">
        <v>0</v>
      </c>
      <c r="Q19" s="50">
        <f>SUMPRODUCT($K$11:$P$11,K19:P19)/0.8</f>
        <v>0.37499999999999994</v>
      </c>
      <c r="R19" s="50">
        <f>SUMPRODUCT($I$11:$P$11,I19:P19)</f>
        <v>0.50000000000000011</v>
      </c>
    </row>
    <row r="20" spans="1:18" customFormat="1" ht="65.099999999999994" customHeight="1" x14ac:dyDescent="0.45">
      <c r="A20" s="27">
        <v>7887</v>
      </c>
      <c r="B20" s="28" t="str">
        <f>IF(R20=1,"On time","Inprogress")</f>
        <v>Inprogress</v>
      </c>
      <c r="C20" s="43" t="s">
        <v>1043</v>
      </c>
      <c r="D20" s="43" t="s">
        <v>989</v>
      </c>
      <c r="E20" s="45" t="s">
        <v>1075</v>
      </c>
      <c r="F20" s="45" t="s">
        <v>1063</v>
      </c>
      <c r="G20" s="45" t="s">
        <v>1075</v>
      </c>
      <c r="H20" s="45" t="s">
        <v>1063</v>
      </c>
      <c r="I20" s="49"/>
      <c r="J20" s="49">
        <v>1</v>
      </c>
      <c r="K20" s="49">
        <v>1</v>
      </c>
      <c r="L20" s="49">
        <v>1</v>
      </c>
      <c r="M20" s="49">
        <v>1</v>
      </c>
      <c r="N20" s="49">
        <v>1</v>
      </c>
      <c r="O20" s="49">
        <v>1</v>
      </c>
      <c r="P20" s="49">
        <v>0.6</v>
      </c>
      <c r="Q20" s="50">
        <f>SUMPRODUCT($K$12:$P$12,K20:P20)/0.95</f>
        <v>0.93684210526315792</v>
      </c>
      <c r="R20" s="50">
        <f>SUMPRODUCT($I$12:$P$12,I20:P20)</f>
        <v>0.94000000000000006</v>
      </c>
    </row>
    <row r="21" spans="1:18" customFormat="1" ht="65.099999999999994" customHeight="1" x14ac:dyDescent="0.45">
      <c r="A21" s="27">
        <v>7889</v>
      </c>
      <c r="B21" s="28" t="str">
        <f t="shared" si="0"/>
        <v>Inprogress</v>
      </c>
      <c r="C21" s="43" t="s">
        <v>1041</v>
      </c>
      <c r="D21" s="43" t="s">
        <v>963</v>
      </c>
      <c r="E21" s="45" t="s">
        <v>1077</v>
      </c>
      <c r="F21" s="45" t="s">
        <v>1074</v>
      </c>
      <c r="G21" s="45"/>
      <c r="H21" s="45"/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50">
        <f t="shared" ref="Q21" si="2">SUMPRODUCT($K$11:$P$11,K21:P21)/0.8</f>
        <v>0</v>
      </c>
      <c r="R21" s="50">
        <f t="shared" ref="R21" si="3">SUMPRODUCT($I$11:$P$11,I21:P21)</f>
        <v>0</v>
      </c>
    </row>
    <row r="22" spans="1:18" x14ac:dyDescent="0.45">
      <c r="F22" s="23"/>
      <c r="G22" s="23"/>
    </row>
    <row r="23" spans="1:18" x14ac:dyDescent="0.45">
      <c r="F23" s="23"/>
      <c r="G23" s="23"/>
    </row>
    <row r="24" spans="1:18" x14ac:dyDescent="0.45">
      <c r="F24" s="23"/>
      <c r="G24" s="23"/>
    </row>
    <row r="25" spans="1:18" x14ac:dyDescent="0.45">
      <c r="F25" s="23"/>
      <c r="G25" s="23"/>
    </row>
    <row r="26" spans="1:18" x14ac:dyDescent="0.45">
      <c r="F26" s="23"/>
      <c r="G26" s="23"/>
    </row>
    <row r="27" spans="1:18" x14ac:dyDescent="0.45">
      <c r="F27" s="23"/>
      <c r="G27" s="23"/>
    </row>
    <row r="28" spans="1:18" x14ac:dyDescent="0.45">
      <c r="F28" s="23"/>
      <c r="G28" s="23"/>
    </row>
    <row r="29" spans="1:18" x14ac:dyDescent="0.45">
      <c r="F29" s="23"/>
      <c r="G29" s="23"/>
    </row>
    <row r="30" spans="1:18" x14ac:dyDescent="0.45">
      <c r="F30" s="23"/>
      <c r="G30" s="23"/>
    </row>
    <row r="31" spans="1:18" x14ac:dyDescent="0.45">
      <c r="F31" s="23"/>
      <c r="G31" s="23"/>
    </row>
    <row r="32" spans="1:18" x14ac:dyDescent="0.45">
      <c r="F32" s="23"/>
      <c r="G32" s="23"/>
    </row>
    <row r="33" spans="1:27" s="25" customFormat="1" x14ac:dyDescent="0.45">
      <c r="A33" s="18"/>
      <c r="B33" s="19"/>
      <c r="C33" s="20"/>
      <c r="D33" s="20"/>
      <c r="E33" s="22"/>
      <c r="F33" s="23"/>
      <c r="G33" s="23"/>
      <c r="H33" s="22"/>
      <c r="K33" s="26"/>
      <c r="L33" s="26"/>
      <c r="M33" s="26"/>
      <c r="N33" s="26"/>
      <c r="O33" s="26"/>
      <c r="P33" s="26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s="25" customFormat="1" x14ac:dyDescent="0.45">
      <c r="A34" s="18"/>
      <c r="B34" s="19"/>
      <c r="C34" s="20"/>
      <c r="D34" s="20"/>
      <c r="E34" s="22"/>
      <c r="F34" s="23"/>
      <c r="G34" s="23"/>
      <c r="H34" s="22"/>
      <c r="K34" s="26"/>
      <c r="L34" s="26"/>
      <c r="M34" s="26"/>
      <c r="N34" s="26"/>
      <c r="O34" s="26"/>
      <c r="P34" s="26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s="25" customFormat="1" x14ac:dyDescent="0.45">
      <c r="A35" s="18"/>
      <c r="B35" s="19"/>
      <c r="C35" s="20"/>
      <c r="D35" s="20"/>
      <c r="E35" s="22"/>
      <c r="F35" s="23"/>
      <c r="G35" s="23"/>
      <c r="H35" s="22"/>
      <c r="K35" s="26"/>
      <c r="L35" s="26"/>
      <c r="M35" s="26"/>
      <c r="N35" s="26"/>
      <c r="O35" s="26"/>
      <c r="P35" s="26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s="25" customFormat="1" x14ac:dyDescent="0.45">
      <c r="A36" s="18"/>
      <c r="B36" s="19"/>
      <c r="C36" s="20"/>
      <c r="D36" s="20"/>
      <c r="E36" s="22"/>
      <c r="F36" s="23"/>
      <c r="G36" s="23"/>
      <c r="H36" s="22"/>
      <c r="K36" s="26"/>
      <c r="L36" s="26"/>
      <c r="M36" s="26"/>
      <c r="N36" s="26"/>
      <c r="O36" s="26"/>
      <c r="P36" s="26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s="25" customFormat="1" x14ac:dyDescent="0.45">
      <c r="A37" s="18"/>
      <c r="B37" s="19"/>
      <c r="C37" s="20"/>
      <c r="D37" s="20"/>
      <c r="E37" s="22"/>
      <c r="F37" s="23"/>
      <c r="G37" s="23"/>
      <c r="H37" s="22"/>
      <c r="K37" s="26"/>
      <c r="L37" s="26"/>
      <c r="M37" s="26"/>
      <c r="N37" s="26"/>
      <c r="O37" s="26"/>
      <c r="P37" s="26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s="25" customFormat="1" x14ac:dyDescent="0.45">
      <c r="A38" s="18"/>
      <c r="B38" s="19"/>
      <c r="C38" s="20"/>
      <c r="D38" s="20"/>
      <c r="E38" s="22"/>
      <c r="F38" s="23"/>
      <c r="G38" s="23"/>
      <c r="H38" s="22"/>
      <c r="K38" s="26"/>
      <c r="L38" s="26"/>
      <c r="M38" s="26"/>
      <c r="N38" s="26"/>
      <c r="O38" s="26"/>
      <c r="P38" s="26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s="25" customFormat="1" x14ac:dyDescent="0.45">
      <c r="A39" s="18"/>
      <c r="B39" s="19"/>
      <c r="C39" s="20"/>
      <c r="D39" s="20"/>
      <c r="E39" s="22"/>
      <c r="F39" s="23"/>
      <c r="G39" s="23"/>
      <c r="H39" s="22"/>
      <c r="K39" s="26"/>
      <c r="L39" s="26"/>
      <c r="M39" s="26"/>
      <c r="N39" s="26"/>
      <c r="O39" s="26"/>
      <c r="P39" s="26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s="25" customFormat="1" x14ac:dyDescent="0.45">
      <c r="A40" s="18"/>
      <c r="B40" s="19"/>
      <c r="C40" s="20"/>
      <c r="D40" s="20"/>
      <c r="E40" s="22"/>
      <c r="F40" s="23"/>
      <c r="G40" s="23"/>
      <c r="H40" s="22"/>
      <c r="K40" s="26"/>
      <c r="L40" s="26"/>
      <c r="M40" s="26"/>
      <c r="N40" s="26"/>
      <c r="O40" s="26"/>
      <c r="P40" s="26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s="25" customFormat="1" x14ac:dyDescent="0.45">
      <c r="A41" s="18"/>
      <c r="B41" s="19"/>
      <c r="C41" s="20"/>
      <c r="D41" s="20"/>
      <c r="E41" s="22"/>
      <c r="F41" s="23"/>
      <c r="G41" s="23"/>
      <c r="H41" s="22"/>
      <c r="K41" s="26"/>
      <c r="L41" s="26"/>
      <c r="M41" s="26"/>
      <c r="N41" s="26"/>
      <c r="O41" s="26"/>
      <c r="P41" s="26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s="25" customFormat="1" x14ac:dyDescent="0.45">
      <c r="A42" s="18"/>
      <c r="B42" s="19"/>
      <c r="C42" s="20"/>
      <c r="D42" s="20"/>
      <c r="E42" s="22" t="s">
        <v>925</v>
      </c>
      <c r="F42" s="23" t="s">
        <v>930</v>
      </c>
      <c r="G42" s="23" t="e">
        <f ca="1">[1]!s2m(E42)</f>
        <v>#NAME?</v>
      </c>
      <c r="H42" s="22" t="e">
        <f ca="1">[1]!s2m(F42)</f>
        <v>#NAME?</v>
      </c>
      <c r="I42" s="40" t="e">
        <f t="shared" ref="I42:I58" ca="1" si="4">H42-TODAY()</f>
        <v>#NAME?</v>
      </c>
      <c r="K42" s="26"/>
      <c r="L42" s="26"/>
      <c r="M42" s="26"/>
      <c r="N42" s="26"/>
      <c r="O42" s="26"/>
      <c r="P42" s="26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s="25" customFormat="1" x14ac:dyDescent="0.45">
      <c r="A43" s="18"/>
      <c r="B43" s="19"/>
      <c r="C43" s="20"/>
      <c r="D43" s="20"/>
      <c r="E43" s="22" t="s">
        <v>925</v>
      </c>
      <c r="F43" s="22" t="s">
        <v>930</v>
      </c>
      <c r="G43" s="23" t="e">
        <f ca="1">[1]!s2m(E43)</f>
        <v>#NAME?</v>
      </c>
      <c r="H43" s="22" t="e">
        <f ca="1">[1]!s2m(F43)</f>
        <v>#NAME?</v>
      </c>
      <c r="I43" s="40" t="e">
        <f t="shared" ca="1" si="4"/>
        <v>#NAME?</v>
      </c>
      <c r="K43" s="26"/>
      <c r="L43" s="26"/>
      <c r="M43" s="26"/>
      <c r="N43" s="26"/>
      <c r="O43" s="26"/>
      <c r="P43" s="26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s="25" customFormat="1" x14ac:dyDescent="0.45">
      <c r="A44" s="18"/>
      <c r="B44" s="19"/>
      <c r="C44" s="20"/>
      <c r="D44" s="20"/>
      <c r="E44" s="22" t="s">
        <v>926</v>
      </c>
      <c r="F44" s="22" t="s">
        <v>931</v>
      </c>
      <c r="G44" s="23" t="e">
        <f ca="1">[1]!s2m(E44)</f>
        <v>#NAME?</v>
      </c>
      <c r="H44" s="22" t="e">
        <f ca="1">[1]!s2m(F44)</f>
        <v>#NAME?</v>
      </c>
      <c r="I44" s="40" t="e">
        <f t="shared" ca="1" si="4"/>
        <v>#NAME?</v>
      </c>
      <c r="K44" s="26"/>
      <c r="L44" s="26"/>
      <c r="M44" s="26"/>
      <c r="N44" s="26"/>
      <c r="O44" s="26"/>
      <c r="P44" s="26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s="25" customFormat="1" x14ac:dyDescent="0.45">
      <c r="A45" s="18"/>
      <c r="B45" s="19"/>
      <c r="C45" s="20"/>
      <c r="D45" s="20"/>
      <c r="E45" s="22" t="s">
        <v>924</v>
      </c>
      <c r="F45" s="22" t="s">
        <v>932</v>
      </c>
      <c r="G45" s="23" t="e">
        <f ca="1">[1]!s2m(E45)</f>
        <v>#NAME?</v>
      </c>
      <c r="H45" s="22" t="e">
        <f ca="1">[1]!s2m(F45)</f>
        <v>#NAME?</v>
      </c>
      <c r="I45" s="40" t="e">
        <f t="shared" ca="1" si="4"/>
        <v>#NAME?</v>
      </c>
      <c r="K45" s="26"/>
      <c r="L45" s="26"/>
      <c r="M45" s="26"/>
      <c r="N45" s="26"/>
      <c r="O45" s="26"/>
      <c r="P45" s="26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s="25" customFormat="1" x14ac:dyDescent="0.45">
      <c r="A46" s="18"/>
      <c r="B46" s="19"/>
      <c r="C46" s="20"/>
      <c r="D46" s="20"/>
      <c r="E46" s="22" t="s">
        <v>927</v>
      </c>
      <c r="F46" s="22" t="s">
        <v>933</v>
      </c>
      <c r="G46" s="23" t="e">
        <f ca="1">[1]!s2m(E46)</f>
        <v>#NAME?</v>
      </c>
      <c r="H46" s="22" t="e">
        <f ca="1">[1]!s2m(F46)</f>
        <v>#NAME?</v>
      </c>
      <c r="I46" s="40" t="e">
        <f t="shared" ca="1" si="4"/>
        <v>#NAME?</v>
      </c>
      <c r="K46" s="26"/>
      <c r="L46" s="26"/>
      <c r="M46" s="26"/>
      <c r="N46" s="26"/>
      <c r="O46" s="26"/>
      <c r="P46" s="26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s="25" customFormat="1" x14ac:dyDescent="0.45">
      <c r="A47" s="18"/>
      <c r="B47" s="19"/>
      <c r="C47" s="20"/>
      <c r="D47" s="20"/>
      <c r="E47" s="22" t="s">
        <v>928</v>
      </c>
      <c r="F47" s="22" t="s">
        <v>934</v>
      </c>
      <c r="G47" s="23" t="e">
        <f ca="1">[1]!s2m(E47)</f>
        <v>#NAME?</v>
      </c>
      <c r="H47" s="22" t="e">
        <f ca="1">[1]!s2m(F47)</f>
        <v>#NAME?</v>
      </c>
      <c r="I47" s="40" t="e">
        <f t="shared" ca="1" si="4"/>
        <v>#NAME?</v>
      </c>
      <c r="K47" s="26"/>
      <c r="L47" s="26"/>
      <c r="M47" s="26"/>
      <c r="N47" s="26"/>
      <c r="O47" s="26"/>
      <c r="P47" s="26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s="25" customFormat="1" x14ac:dyDescent="0.45">
      <c r="A48" s="18"/>
      <c r="B48" s="19"/>
      <c r="C48" s="20"/>
      <c r="D48" s="20"/>
      <c r="E48" s="22" t="s">
        <v>929</v>
      </c>
      <c r="F48" s="22" t="s">
        <v>935</v>
      </c>
      <c r="G48" s="23" t="e">
        <f ca="1">[1]!s2m(E48)</f>
        <v>#NAME?</v>
      </c>
      <c r="H48" s="22" t="e">
        <f ca="1">[1]!s2m(F48)</f>
        <v>#NAME?</v>
      </c>
      <c r="I48" s="40" t="e">
        <f t="shared" ca="1" si="4"/>
        <v>#NAME?</v>
      </c>
      <c r="K48" s="26"/>
      <c r="L48" s="26"/>
      <c r="M48" s="26"/>
      <c r="N48" s="26"/>
      <c r="O48" s="26"/>
      <c r="P48" s="26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s="25" customFormat="1" x14ac:dyDescent="0.45">
      <c r="A49" s="18"/>
      <c r="B49" s="19"/>
      <c r="C49" s="20"/>
      <c r="D49" s="20"/>
      <c r="E49" s="22" t="s">
        <v>936</v>
      </c>
      <c r="F49" s="22" t="s">
        <v>943</v>
      </c>
      <c r="G49" s="23" t="e">
        <f ca="1">[1]!s2m(E49)</f>
        <v>#NAME?</v>
      </c>
      <c r="H49" s="22" t="e">
        <f ca="1">[1]!s2m(F49)</f>
        <v>#NAME?</v>
      </c>
      <c r="I49" s="40" t="e">
        <f t="shared" ca="1" si="4"/>
        <v>#NAME?</v>
      </c>
      <c r="K49" s="26"/>
      <c r="L49" s="26"/>
      <c r="M49" s="26"/>
      <c r="N49" s="26"/>
      <c r="O49" s="26"/>
      <c r="P49" s="26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s="25" customFormat="1" x14ac:dyDescent="0.45">
      <c r="A50" s="18"/>
      <c r="B50" s="19"/>
      <c r="C50" s="20"/>
      <c r="D50" s="20"/>
      <c r="E50" s="22" t="s">
        <v>937</v>
      </c>
      <c r="F50" s="22" t="s">
        <v>944</v>
      </c>
      <c r="G50" s="23" t="e">
        <f ca="1">[1]!s2m(E50)</f>
        <v>#NAME?</v>
      </c>
      <c r="H50" s="22" t="e">
        <f ca="1">[1]!s2m(F50)</f>
        <v>#NAME?</v>
      </c>
      <c r="I50" s="40" t="e">
        <f t="shared" ca="1" si="4"/>
        <v>#NAME?</v>
      </c>
      <c r="K50" s="26"/>
      <c r="L50" s="26"/>
      <c r="M50" s="26"/>
      <c r="N50" s="26"/>
      <c r="O50" s="26"/>
      <c r="P50" s="26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s="25" customFormat="1" x14ac:dyDescent="0.45">
      <c r="A51" s="18"/>
      <c r="B51" s="19"/>
      <c r="C51" s="20"/>
      <c r="D51" s="20"/>
      <c r="E51" s="22" t="s">
        <v>681</v>
      </c>
      <c r="F51" s="22" t="s">
        <v>945</v>
      </c>
      <c r="G51" s="23" t="e">
        <f ca="1">[1]!s2m(E51)</f>
        <v>#NAME?</v>
      </c>
      <c r="H51" s="22" t="e">
        <f ca="1">[1]!s2m(F51)</f>
        <v>#NAME?</v>
      </c>
      <c r="I51" s="40" t="e">
        <f t="shared" ca="1" si="4"/>
        <v>#NAME?</v>
      </c>
      <c r="K51" s="26"/>
      <c r="L51" s="26"/>
      <c r="M51" s="26"/>
      <c r="N51" s="26"/>
      <c r="O51" s="26"/>
      <c r="P51" s="26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s="25" customFormat="1" x14ac:dyDescent="0.45">
      <c r="A52" s="18"/>
      <c r="B52" s="19"/>
      <c r="C52" s="20"/>
      <c r="D52" s="20"/>
      <c r="E52" s="22" t="s">
        <v>938</v>
      </c>
      <c r="F52" s="22" t="s">
        <v>946</v>
      </c>
      <c r="G52" s="23" t="e">
        <f ca="1">[1]!s2m(E52)</f>
        <v>#NAME?</v>
      </c>
      <c r="H52" s="22" t="e">
        <f ca="1">[1]!s2m(F52)</f>
        <v>#NAME?</v>
      </c>
      <c r="I52" s="40" t="e">
        <f t="shared" ca="1" si="4"/>
        <v>#NAME?</v>
      </c>
      <c r="K52" s="26"/>
      <c r="L52" s="26"/>
      <c r="M52" s="26"/>
      <c r="N52" s="26"/>
      <c r="O52" s="26"/>
      <c r="P52" s="26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s="25" customFormat="1" x14ac:dyDescent="0.45">
      <c r="A53" s="18"/>
      <c r="B53" s="19"/>
      <c r="C53" s="20"/>
      <c r="D53" s="20"/>
      <c r="E53" s="22" t="s">
        <v>939</v>
      </c>
      <c r="F53" s="22" t="s">
        <v>947</v>
      </c>
      <c r="G53" s="23" t="e">
        <f ca="1">[1]!s2m(E53)</f>
        <v>#NAME?</v>
      </c>
      <c r="H53" s="22" t="e">
        <f ca="1">[1]!s2m(F53)</f>
        <v>#NAME?</v>
      </c>
      <c r="I53" s="40" t="e">
        <f t="shared" ca="1" si="4"/>
        <v>#NAME?</v>
      </c>
      <c r="K53" s="26"/>
      <c r="L53" s="26"/>
      <c r="M53" s="26"/>
      <c r="N53" s="26"/>
      <c r="O53" s="26"/>
      <c r="P53" s="26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s="25" customFormat="1" x14ac:dyDescent="0.45">
      <c r="A54" s="18"/>
      <c r="B54" s="19"/>
      <c r="C54" s="20"/>
      <c r="D54" s="20"/>
      <c r="E54" s="22" t="s">
        <v>940</v>
      </c>
      <c r="F54" s="22" t="s">
        <v>948</v>
      </c>
      <c r="G54" s="23" t="e">
        <f ca="1">[1]!s2m(E54)</f>
        <v>#NAME?</v>
      </c>
      <c r="H54" s="22" t="e">
        <f ca="1">[1]!s2m(F54)</f>
        <v>#NAME?</v>
      </c>
      <c r="I54" s="40" t="e">
        <f t="shared" ca="1" si="4"/>
        <v>#NAME?</v>
      </c>
      <c r="K54" s="26"/>
      <c r="L54" s="26"/>
      <c r="M54" s="26"/>
      <c r="N54" s="26"/>
      <c r="O54" s="26"/>
      <c r="P54" s="26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s="25" customFormat="1" x14ac:dyDescent="0.45">
      <c r="A55" s="18"/>
      <c r="B55" s="19"/>
      <c r="C55" s="20"/>
      <c r="D55" s="20"/>
      <c r="E55" s="22" t="s">
        <v>941</v>
      </c>
      <c r="F55" s="22" t="s">
        <v>949</v>
      </c>
      <c r="G55" s="23" t="e">
        <f ca="1">[1]!s2m(E55)</f>
        <v>#NAME?</v>
      </c>
      <c r="H55" s="22" t="e">
        <f ca="1">[1]!s2m(F55)</f>
        <v>#NAME?</v>
      </c>
      <c r="I55" s="40" t="e">
        <f t="shared" ca="1" si="4"/>
        <v>#NAME?</v>
      </c>
      <c r="K55" s="26"/>
      <c r="L55" s="26"/>
      <c r="M55" s="26"/>
      <c r="N55" s="26"/>
      <c r="O55" s="26"/>
      <c r="P55" s="26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s="25" customFormat="1" x14ac:dyDescent="0.45">
      <c r="A56" s="18"/>
      <c r="B56" s="19"/>
      <c r="C56" s="20"/>
      <c r="D56" s="20"/>
      <c r="E56" s="22" t="s">
        <v>942</v>
      </c>
      <c r="F56" s="22" t="s">
        <v>950</v>
      </c>
      <c r="G56" s="23" t="e">
        <f ca="1">[1]!s2m(E56)</f>
        <v>#NAME?</v>
      </c>
      <c r="H56" s="22" t="e">
        <f ca="1">[1]!s2m(F56)</f>
        <v>#NAME?</v>
      </c>
      <c r="I56" s="40" t="e">
        <f t="shared" ca="1" si="4"/>
        <v>#NAME?</v>
      </c>
      <c r="K56" s="26"/>
      <c r="L56" s="26"/>
      <c r="M56" s="26"/>
      <c r="N56" s="26"/>
      <c r="O56" s="26"/>
      <c r="P56" s="26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s="25" customFormat="1" x14ac:dyDescent="0.45">
      <c r="A57" s="18"/>
      <c r="B57" s="19"/>
      <c r="C57" s="20"/>
      <c r="D57" s="20"/>
      <c r="E57" s="22" t="s">
        <v>938</v>
      </c>
      <c r="F57" s="22" t="s">
        <v>946</v>
      </c>
      <c r="G57" s="23" t="e">
        <f ca="1">[1]!s2m(E57)</f>
        <v>#NAME?</v>
      </c>
      <c r="H57" s="22" t="e">
        <f ca="1">[1]!s2m(F57)</f>
        <v>#NAME?</v>
      </c>
      <c r="I57" s="40" t="e">
        <f t="shared" ca="1" si="4"/>
        <v>#NAME?</v>
      </c>
      <c r="K57" s="26"/>
      <c r="L57" s="26"/>
      <c r="M57" s="26"/>
      <c r="N57" s="26"/>
      <c r="O57" s="26"/>
      <c r="P57" s="26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s="25" customFormat="1" x14ac:dyDescent="0.45">
      <c r="A58" s="18"/>
      <c r="B58" s="19"/>
      <c r="C58" s="20"/>
      <c r="D58" s="20"/>
      <c r="E58" s="22" t="s">
        <v>942</v>
      </c>
      <c r="F58" s="22" t="s">
        <v>950</v>
      </c>
      <c r="G58" s="23" t="e">
        <f ca="1">[1]!s2m(E58)</f>
        <v>#NAME?</v>
      </c>
      <c r="H58" s="22" t="e">
        <f ca="1">[1]!s2m(F58)</f>
        <v>#NAME?</v>
      </c>
      <c r="I58" s="40" t="e">
        <f t="shared" ca="1" si="4"/>
        <v>#NAME?</v>
      </c>
      <c r="K58" s="26"/>
      <c r="L58" s="26"/>
      <c r="M58" s="26"/>
      <c r="N58" s="26"/>
      <c r="O58" s="26"/>
      <c r="P58" s="26"/>
      <c r="R58" s="22"/>
      <c r="S58" s="22"/>
      <c r="T58" s="22"/>
      <c r="U58" s="22"/>
      <c r="V58" s="22"/>
      <c r="W58" s="22"/>
      <c r="X58" s="22"/>
      <c r="Y58" s="22"/>
      <c r="Z58" s="22"/>
      <c r="AA58" s="22"/>
    </row>
  </sheetData>
  <mergeCells count="41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N6:P7"/>
    <mergeCell ref="Q6:R6"/>
    <mergeCell ref="B7:C7"/>
    <mergeCell ref="Q7:R7"/>
    <mergeCell ref="E8:F9"/>
    <mergeCell ref="D8:D12"/>
    <mergeCell ref="E10:E12"/>
    <mergeCell ref="F10:F12"/>
    <mergeCell ref="C8:C12"/>
    <mergeCell ref="B8:B12"/>
    <mergeCell ref="Q11:Q12"/>
    <mergeCell ref="R11:R12"/>
    <mergeCell ref="B6:C6"/>
    <mergeCell ref="E6:G7"/>
    <mergeCell ref="H6:J7"/>
    <mergeCell ref="K6:M7"/>
    <mergeCell ref="A8:A12"/>
    <mergeCell ref="I8:P8"/>
    <mergeCell ref="Q8:Q10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G8:H9"/>
    <mergeCell ref="G10:G12"/>
    <mergeCell ref="H10:H12"/>
  </mergeCells>
  <conditionalFormatting sqref="B13:B21">
    <cfRule type="cellIs" dxfId="35" priority="3" operator="equal">
      <formula>"Delete"</formula>
    </cfRule>
    <cfRule type="cellIs" dxfId="34" priority="8" operator="equal">
      <formula>"On time"</formula>
    </cfRule>
    <cfRule type="cellIs" dxfId="33" priority="9" operator="equal">
      <formula>"Delay"</formula>
    </cfRule>
    <cfRule type="cellIs" dxfId="32" priority="11" operator="equal">
      <formula>"Inprogress"</formula>
    </cfRule>
    <cfRule type="cellIs" dxfId="31" priority="12" operator="equal">
      <formula>"Ahead of schedule"</formula>
    </cfRule>
  </conditionalFormatting>
  <conditionalFormatting sqref="B6:D6">
    <cfRule type="cellIs" dxfId="30" priority="10" operator="equal">
      <formula>"Delay"</formula>
    </cfRule>
  </conditionalFormatting>
  <conditionalFormatting sqref="I13:R21">
    <cfRule type="cellIs" dxfId="29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{5E0988C3-3849-4D02-956F-687030F6B7D9}</x14:id>
        </ext>
      </extLst>
    </cfRule>
  </conditionalFormatting>
  <conditionalFormatting sqref="Q13:R21">
    <cfRule type="cellIs" dxfId="28" priority="5" operator="between">
      <formula>0.01</formula>
      <formula>0.99</formula>
    </cfRule>
    <cfRule type="cellIs" dxfId="27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0988C3-3849-4D02-956F-687030F6B7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 tint="-0.249977111117893"/>
  </sheetPr>
  <dimension ref="A1:AL67"/>
  <sheetViews>
    <sheetView view="pageBreakPreview" zoomScale="40" zoomScaleNormal="55" zoomScaleSheetLayoutView="40" zoomScalePageLayoutView="40" workbookViewId="0">
      <selection activeCell="Q6" sqref="Q6:R7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25" width="10.3984375" style="22" customWidth="1"/>
    <col min="26" max="27" width="10.3984375" style="22" hidden="1" customWidth="1"/>
    <col min="28" max="28" width="10.3984375" style="22" customWidth="1"/>
    <col min="29" max="30" width="12.265625" style="22" customWidth="1"/>
    <col min="31" max="16384" width="9.1328125" style="22"/>
  </cols>
  <sheetData>
    <row r="1" spans="1:38" ht="16.149999999999999" thickBot="1" x14ac:dyDescent="0.5"/>
    <row r="2" spans="1:38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38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38" customFormat="1" ht="19.7" customHeight="1" thickBot="1" x14ac:dyDescent="0.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38" customFormat="1" ht="19.7" customHeight="1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S5" s="105" t="s">
        <v>173</v>
      </c>
      <c r="T5" s="107" t="s">
        <v>147</v>
      </c>
      <c r="U5" s="107" t="s">
        <v>155</v>
      </c>
      <c r="V5" s="107" t="s">
        <v>156</v>
      </c>
      <c r="W5" s="107" t="s">
        <v>157</v>
      </c>
      <c r="X5" s="107" t="s">
        <v>158</v>
      </c>
      <c r="Y5" s="107" t="s">
        <v>159</v>
      </c>
      <c r="Z5" s="7"/>
      <c r="AA5" s="7"/>
      <c r="AB5" s="103" t="s">
        <v>160</v>
      </c>
      <c r="AC5" s="14"/>
      <c r="AL5" s="6"/>
    </row>
    <row r="6" spans="1:38" customFormat="1" ht="22.5" customHeight="1" thickBot="1" x14ac:dyDescent="0.5">
      <c r="A6" s="32" t="s">
        <v>152</v>
      </c>
      <c r="B6" s="131"/>
      <c r="C6" s="131"/>
      <c r="D6" s="34"/>
      <c r="E6" s="101" t="s">
        <v>987</v>
      </c>
      <c r="F6" s="101"/>
      <c r="G6" s="101"/>
      <c r="H6" s="75" t="s">
        <v>921</v>
      </c>
      <c r="I6" s="75"/>
      <c r="J6" s="75"/>
      <c r="K6" s="75">
        <f>COUNTIF(B13:B30,"On time")</f>
        <v>8</v>
      </c>
      <c r="L6" s="75"/>
      <c r="M6" s="75"/>
      <c r="N6" s="120">
        <f>COUNTIF(B26:B26,"Inprogress")</f>
        <v>1</v>
      </c>
      <c r="O6" s="121"/>
      <c r="P6" s="122"/>
      <c r="Q6" s="109" t="s">
        <v>1098</v>
      </c>
      <c r="R6" s="109"/>
      <c r="S6" s="106"/>
      <c r="T6" s="108"/>
      <c r="U6" s="108"/>
      <c r="V6" s="108"/>
      <c r="W6" s="108"/>
      <c r="X6" s="108"/>
      <c r="Y6" s="108"/>
      <c r="AB6" s="104"/>
      <c r="AC6" s="15"/>
    </row>
    <row r="7" spans="1:38" customFormat="1" ht="24.75" customHeight="1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  <c r="S7" s="16">
        <v>0</v>
      </c>
      <c r="T7" s="10">
        <v>0.05</v>
      </c>
      <c r="U7" s="10">
        <v>0.1</v>
      </c>
      <c r="V7" s="10">
        <v>0.15</v>
      </c>
      <c r="W7" s="10">
        <v>0.11</v>
      </c>
      <c r="X7" s="10">
        <v>0.2</v>
      </c>
      <c r="Y7" s="10">
        <v>0.24</v>
      </c>
      <c r="Z7" s="10">
        <v>0</v>
      </c>
      <c r="AA7" s="10">
        <v>0</v>
      </c>
      <c r="AB7" s="11">
        <v>0.15</v>
      </c>
      <c r="AC7" s="8" t="s">
        <v>171</v>
      </c>
    </row>
    <row r="8" spans="1:38" customFormat="1" ht="37.700000000000003" customHeight="1" thickBot="1" x14ac:dyDescent="0.5">
      <c r="A8" s="78" t="s">
        <v>956</v>
      </c>
      <c r="B8" s="78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  <c r="S8" s="17">
        <v>0.15</v>
      </c>
      <c r="T8" s="12">
        <v>0.05</v>
      </c>
      <c r="U8" s="12">
        <v>0.1</v>
      </c>
      <c r="V8" s="12">
        <v>0.15</v>
      </c>
      <c r="W8" s="12">
        <v>0.1</v>
      </c>
      <c r="X8" s="12">
        <v>0.15</v>
      </c>
      <c r="Y8" s="12">
        <v>0.15</v>
      </c>
      <c r="Z8" s="12">
        <v>0</v>
      </c>
      <c r="AA8" s="12">
        <v>0</v>
      </c>
      <c r="AB8" s="13">
        <v>0.15</v>
      </c>
      <c r="AC8" s="9" t="s">
        <v>172</v>
      </c>
    </row>
    <row r="9" spans="1:38" customFormat="1" ht="26.25" customHeight="1" thickBot="1" x14ac:dyDescent="0.5">
      <c r="A9" s="78"/>
      <c r="B9" s="78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  <c r="S9" s="2"/>
      <c r="T9" s="2"/>
      <c r="U9" s="2">
        <v>0.2</v>
      </c>
      <c r="V9" s="2">
        <v>0.3</v>
      </c>
      <c r="W9" s="2"/>
      <c r="X9" s="2"/>
      <c r="AB9" s="13">
        <v>0.5</v>
      </c>
      <c r="AC9" t="s">
        <v>919</v>
      </c>
    </row>
    <row r="10" spans="1:38" customFormat="1" ht="36.4" customHeight="1" x14ac:dyDescent="0.45">
      <c r="A10" s="78"/>
      <c r="B10" s="78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  <c r="T10" s="3"/>
      <c r="U10" s="3"/>
      <c r="V10" s="3"/>
      <c r="W10" s="3"/>
    </row>
    <row r="11" spans="1:38" customFormat="1" ht="40.5" customHeight="1" x14ac:dyDescent="0.45">
      <c r="A11" s="78"/>
      <c r="B11" s="78"/>
      <c r="C11" s="84"/>
      <c r="D11" s="84"/>
      <c r="E11" s="86"/>
      <c r="F11" s="86"/>
      <c r="G11" s="86"/>
      <c r="H11" s="86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137">
        <f>AVERAGE(Q13:Q30)</f>
        <v>0.52222222222222225</v>
      </c>
      <c r="R11" s="139">
        <f>AVERAGE(R13:R30)</f>
        <v>0.56499999999999995</v>
      </c>
      <c r="T11" s="3"/>
      <c r="U11" s="3"/>
      <c r="V11" s="3"/>
      <c r="W11" s="3"/>
    </row>
    <row r="12" spans="1:38" customFormat="1" ht="40.5" customHeight="1" x14ac:dyDescent="0.45">
      <c r="A12" s="66"/>
      <c r="B12" s="66"/>
      <c r="C12" s="67"/>
      <c r="D12" s="67"/>
      <c r="E12" s="68"/>
      <c r="F12" s="68"/>
      <c r="G12" s="68"/>
      <c r="H12" s="68"/>
      <c r="I12" s="56">
        <v>0</v>
      </c>
      <c r="J12" s="56">
        <v>0.05</v>
      </c>
      <c r="K12" s="56">
        <v>0.1</v>
      </c>
      <c r="L12" s="56">
        <v>0.15</v>
      </c>
      <c r="M12" s="56">
        <v>0.11</v>
      </c>
      <c r="N12" s="56">
        <v>0.2</v>
      </c>
      <c r="O12" s="56">
        <v>0.24</v>
      </c>
      <c r="P12" s="56">
        <v>0.15</v>
      </c>
      <c r="Q12" s="138"/>
      <c r="R12" s="140"/>
    </row>
    <row r="13" spans="1:38" customFormat="1" ht="65.099999999999994" customHeight="1" x14ac:dyDescent="0.45">
      <c r="A13" s="27">
        <v>8340</v>
      </c>
      <c r="B13" s="28" t="str">
        <f>IF(R13=1,"On time","Inprogress")</f>
        <v>On time</v>
      </c>
      <c r="C13" s="43" t="s">
        <v>988</v>
      </c>
      <c r="D13" s="61" t="s">
        <v>989</v>
      </c>
      <c r="E13" s="45"/>
      <c r="F13" s="45" t="s">
        <v>1088</v>
      </c>
      <c r="G13" s="45"/>
      <c r="H13" s="45" t="s">
        <v>1088</v>
      </c>
      <c r="I13" s="49"/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>SUMPRODUCT($K$11:$P$11,K13:P13)/0.8</f>
        <v>1</v>
      </c>
      <c r="R13" s="50">
        <f>SUMPRODUCT($I$12:$P$12,I13:P13)</f>
        <v>1</v>
      </c>
      <c r="S13" s="5"/>
      <c r="W13" s="4"/>
      <c r="X13" s="4"/>
    </row>
    <row r="14" spans="1:38" customFormat="1" ht="65.099999999999994" customHeight="1" x14ac:dyDescent="0.45">
      <c r="A14" s="27">
        <v>8140</v>
      </c>
      <c r="B14" s="28" t="str">
        <f>IF(R14=1,"On time","Inprogress")</f>
        <v>On time</v>
      </c>
      <c r="C14" s="43" t="s">
        <v>1001</v>
      </c>
      <c r="D14" s="42" t="s">
        <v>963</v>
      </c>
      <c r="E14" s="45" t="s">
        <v>1085</v>
      </c>
      <c r="F14" s="45" t="s">
        <v>1086</v>
      </c>
      <c r="G14" s="45" t="s">
        <v>1085</v>
      </c>
      <c r="H14" s="45"/>
      <c r="I14" s="49">
        <v>1</v>
      </c>
      <c r="J14" s="49">
        <v>1</v>
      </c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50">
        <f>SUMPRODUCT($K$11:$P$11,K14:P14)/0.8</f>
        <v>1</v>
      </c>
      <c r="R14" s="50">
        <f>SUMPRODUCT($I$11:$P$11,I14:P14)</f>
        <v>1</v>
      </c>
      <c r="S14" s="5"/>
      <c r="W14" s="4"/>
      <c r="X14" s="4"/>
    </row>
    <row r="15" spans="1:38" customFormat="1" ht="65.099999999999994" customHeight="1" x14ac:dyDescent="0.45">
      <c r="A15" s="27">
        <v>8184</v>
      </c>
      <c r="B15" s="28" t="str">
        <f>IF(R15=1,"On time","Inprogress")</f>
        <v>On time</v>
      </c>
      <c r="C15" s="43" t="s">
        <v>1068</v>
      </c>
      <c r="D15" s="43" t="s">
        <v>963</v>
      </c>
      <c r="E15" s="45" t="s">
        <v>1073</v>
      </c>
      <c r="F15" s="45" t="s">
        <v>1097</v>
      </c>
      <c r="G15" s="45" t="s">
        <v>1095</v>
      </c>
      <c r="H15" s="45" t="s">
        <v>996</v>
      </c>
      <c r="I15" s="49">
        <v>1</v>
      </c>
      <c r="J15" s="49">
        <v>1</v>
      </c>
      <c r="K15" s="49">
        <v>1</v>
      </c>
      <c r="L15" s="49">
        <v>1</v>
      </c>
      <c r="M15" s="49">
        <v>1</v>
      </c>
      <c r="N15" s="49">
        <v>1</v>
      </c>
      <c r="O15" s="49">
        <v>1</v>
      </c>
      <c r="P15" s="49">
        <v>1</v>
      </c>
      <c r="Q15" s="50">
        <f>SUMPRODUCT($K$11:$P$11,K15:P15)/0.8</f>
        <v>1</v>
      </c>
      <c r="R15" s="50">
        <f>SUMPRODUCT($I$11:$P$11,I15:P15)</f>
        <v>1</v>
      </c>
      <c r="S15" s="5"/>
      <c r="W15" s="4"/>
      <c r="X15" s="4"/>
    </row>
    <row r="16" spans="1:38" customFormat="1" ht="65.099999999999994" customHeight="1" x14ac:dyDescent="0.45">
      <c r="A16" s="27">
        <v>8169</v>
      </c>
      <c r="B16" s="28" t="str">
        <f t="shared" ref="B16:B30" si="0">IF(R16=1,"On time","Inprogress")</f>
        <v>On time</v>
      </c>
      <c r="C16" s="43" t="s">
        <v>993</v>
      </c>
      <c r="D16" s="42" t="s">
        <v>963</v>
      </c>
      <c r="E16" s="45" t="s">
        <v>1077</v>
      </c>
      <c r="F16" s="45" t="s">
        <v>1091</v>
      </c>
      <c r="G16" s="45" t="s">
        <v>1077</v>
      </c>
      <c r="H16" s="45" t="s">
        <v>1082</v>
      </c>
      <c r="I16" s="49">
        <v>1</v>
      </c>
      <c r="J16" s="49">
        <v>1</v>
      </c>
      <c r="K16" s="49">
        <v>1</v>
      </c>
      <c r="L16" s="49">
        <v>1</v>
      </c>
      <c r="M16" s="49">
        <v>1</v>
      </c>
      <c r="N16" s="49">
        <v>1</v>
      </c>
      <c r="O16" s="49">
        <v>1</v>
      </c>
      <c r="P16" s="49">
        <v>1</v>
      </c>
      <c r="Q16" s="50">
        <f t="shared" ref="Q16:Q30" si="1">SUMPRODUCT($K$11:$P$11,K16:P16)/0.8</f>
        <v>1</v>
      </c>
      <c r="R16" s="50">
        <f t="shared" ref="R16:R30" si="2">SUMPRODUCT($I$11:$P$11,I16:P16)</f>
        <v>1</v>
      </c>
      <c r="S16" s="5"/>
      <c r="W16" s="4"/>
      <c r="X16" s="4"/>
    </row>
    <row r="17" spans="1:24" customFormat="1" ht="65.099999999999994" customHeight="1" x14ac:dyDescent="0.45">
      <c r="A17" s="27">
        <v>8139</v>
      </c>
      <c r="B17" s="28" t="str">
        <f t="shared" si="0"/>
        <v>On time</v>
      </c>
      <c r="C17" s="43" t="s">
        <v>1002</v>
      </c>
      <c r="D17" s="42" t="s">
        <v>963</v>
      </c>
      <c r="E17" s="45" t="s">
        <v>1063</v>
      </c>
      <c r="F17" s="45" t="s">
        <v>1086</v>
      </c>
      <c r="G17" s="45" t="s">
        <v>1063</v>
      </c>
      <c r="H17" s="45" t="s">
        <v>1082</v>
      </c>
      <c r="I17" s="49">
        <v>1</v>
      </c>
      <c r="J17" s="49">
        <v>1</v>
      </c>
      <c r="K17" s="49">
        <v>1</v>
      </c>
      <c r="L17" s="49">
        <v>1</v>
      </c>
      <c r="M17" s="49">
        <v>1</v>
      </c>
      <c r="N17" s="49">
        <v>1</v>
      </c>
      <c r="O17" s="49">
        <v>1</v>
      </c>
      <c r="P17" s="49">
        <v>1</v>
      </c>
      <c r="Q17" s="50">
        <f t="shared" si="1"/>
        <v>1</v>
      </c>
      <c r="R17" s="50">
        <f t="shared" si="2"/>
        <v>1</v>
      </c>
      <c r="S17" s="5"/>
      <c r="W17" s="4"/>
      <c r="X17" s="4"/>
    </row>
    <row r="18" spans="1:24" customFormat="1" ht="65.099999999999994" customHeight="1" x14ac:dyDescent="0.45">
      <c r="A18" s="27">
        <v>8188</v>
      </c>
      <c r="B18" s="28" t="str">
        <f>IF(R18=1,"On time","Inprogress")</f>
        <v>On time</v>
      </c>
      <c r="C18" s="43" t="s">
        <v>1070</v>
      </c>
      <c r="D18" s="43" t="s">
        <v>963</v>
      </c>
      <c r="E18" s="45" t="s">
        <v>1095</v>
      </c>
      <c r="F18" s="45" t="s">
        <v>952</v>
      </c>
      <c r="G18" s="45" t="s">
        <v>1095</v>
      </c>
      <c r="H18" s="45" t="s">
        <v>996</v>
      </c>
      <c r="I18" s="49">
        <v>1</v>
      </c>
      <c r="J18" s="49">
        <v>1</v>
      </c>
      <c r="K18" s="49">
        <v>1</v>
      </c>
      <c r="L18" s="49">
        <v>1</v>
      </c>
      <c r="M18" s="49">
        <v>1</v>
      </c>
      <c r="N18" s="49">
        <v>1</v>
      </c>
      <c r="O18" s="49">
        <v>1</v>
      </c>
      <c r="P18" s="49">
        <v>1</v>
      </c>
      <c r="Q18" s="50">
        <f>SUMPRODUCT($K$11:$P$11,K18:P18)/0.8</f>
        <v>1</v>
      </c>
      <c r="R18" s="50">
        <f>SUMPRODUCT($I$11:$P$11,I18:P18)</f>
        <v>1</v>
      </c>
      <c r="S18" s="5"/>
      <c r="W18" s="4"/>
      <c r="X18" s="4"/>
    </row>
    <row r="19" spans="1:24" customFormat="1" ht="65.099999999999994" customHeight="1" x14ac:dyDescent="0.45">
      <c r="A19" s="27">
        <v>8167</v>
      </c>
      <c r="B19" s="28" t="str">
        <f>IF(R19=1,"On time","Inprogress")</f>
        <v>On time</v>
      </c>
      <c r="C19" s="43" t="s">
        <v>995</v>
      </c>
      <c r="D19" s="42" t="s">
        <v>963</v>
      </c>
      <c r="E19" s="45" t="s">
        <v>996</v>
      </c>
      <c r="F19" s="45" t="s">
        <v>997</v>
      </c>
      <c r="G19" s="45" t="s">
        <v>996</v>
      </c>
      <c r="H19" s="45" t="s">
        <v>1084</v>
      </c>
      <c r="I19" s="49">
        <v>1</v>
      </c>
      <c r="J19" s="49">
        <v>1</v>
      </c>
      <c r="K19" s="49">
        <v>1</v>
      </c>
      <c r="L19" s="49">
        <v>1</v>
      </c>
      <c r="M19" s="49">
        <v>1</v>
      </c>
      <c r="N19" s="49">
        <v>1</v>
      </c>
      <c r="O19" s="49">
        <v>1</v>
      </c>
      <c r="P19" s="49">
        <v>1</v>
      </c>
      <c r="Q19" s="50">
        <f>SUMPRODUCT($K$11:$P$11,K19:P19)/0.8</f>
        <v>1</v>
      </c>
      <c r="R19" s="50">
        <f>SUMPRODUCT($I$11:$P$11,I19:P19)</f>
        <v>1</v>
      </c>
      <c r="S19" s="5"/>
      <c r="W19" s="4"/>
      <c r="X19" s="4"/>
    </row>
    <row r="20" spans="1:24" customFormat="1" ht="65.099999999999994" customHeight="1" x14ac:dyDescent="0.45">
      <c r="A20" s="27">
        <v>8166</v>
      </c>
      <c r="B20" s="28" t="str">
        <f>IF(R20=1,"On time","Inprogress")</f>
        <v>On time</v>
      </c>
      <c r="C20" s="43" t="s">
        <v>998</v>
      </c>
      <c r="D20" s="42" t="s">
        <v>963</v>
      </c>
      <c r="E20" s="45" t="s">
        <v>996</v>
      </c>
      <c r="F20" s="45" t="s">
        <v>997</v>
      </c>
      <c r="G20" s="45" t="s">
        <v>996</v>
      </c>
      <c r="H20" s="45" t="s">
        <v>1084</v>
      </c>
      <c r="I20" s="49">
        <v>1</v>
      </c>
      <c r="J20" s="49">
        <v>1</v>
      </c>
      <c r="K20" s="49">
        <v>1</v>
      </c>
      <c r="L20" s="49">
        <v>1</v>
      </c>
      <c r="M20" s="49">
        <v>1</v>
      </c>
      <c r="N20" s="49">
        <v>1</v>
      </c>
      <c r="O20" s="49">
        <v>1</v>
      </c>
      <c r="P20" s="49">
        <v>1</v>
      </c>
      <c r="Q20" s="50">
        <f>SUMPRODUCT($K$11:$P$11,K20:P20)/0.8</f>
        <v>1</v>
      </c>
      <c r="R20" s="50">
        <f>SUMPRODUCT($I$11:$P$11,I20:P20)</f>
        <v>1</v>
      </c>
      <c r="S20" s="5"/>
      <c r="W20" s="4"/>
      <c r="X20" s="4"/>
    </row>
    <row r="21" spans="1:24" customFormat="1" ht="65.099999999999994" customHeight="1" x14ac:dyDescent="0.45">
      <c r="A21" s="27">
        <v>8187</v>
      </c>
      <c r="B21" s="28" t="str">
        <f>IF(R21=1,"On time","Inprogress")</f>
        <v>Inprogress</v>
      </c>
      <c r="C21" s="43" t="s">
        <v>1051</v>
      </c>
      <c r="D21" s="43" t="s">
        <v>963</v>
      </c>
      <c r="E21" s="45" t="s">
        <v>952</v>
      </c>
      <c r="F21" s="45" t="s">
        <v>997</v>
      </c>
      <c r="G21" s="45" t="s">
        <v>952</v>
      </c>
      <c r="H21" s="45"/>
      <c r="I21" s="49">
        <v>1</v>
      </c>
      <c r="J21" s="49">
        <v>1</v>
      </c>
      <c r="K21" s="49">
        <v>1</v>
      </c>
      <c r="L21" s="49">
        <v>1</v>
      </c>
      <c r="M21" s="49">
        <v>1</v>
      </c>
      <c r="N21" s="49">
        <v>1</v>
      </c>
      <c r="O21" s="49">
        <v>0.6</v>
      </c>
      <c r="P21" s="49">
        <v>0</v>
      </c>
      <c r="Q21" s="50">
        <f>SUMPRODUCT($K$11:$P$11,K21:P21)/0.8</f>
        <v>0.73749999999999993</v>
      </c>
      <c r="R21" s="50">
        <f>SUMPRODUCT($I$11:$P$11,I21:P21)</f>
        <v>0.79</v>
      </c>
      <c r="S21" s="5"/>
      <c r="W21" s="4"/>
      <c r="X21" s="4"/>
    </row>
    <row r="22" spans="1:24" customFormat="1" ht="65.099999999999994" customHeight="1" x14ac:dyDescent="0.45">
      <c r="A22" s="27">
        <v>8185</v>
      </c>
      <c r="B22" s="28" t="str">
        <f>IF(R22=1,"On time","Inprogress")</f>
        <v>Inprogress</v>
      </c>
      <c r="C22" s="43" t="s">
        <v>1069</v>
      </c>
      <c r="D22" s="43" t="s">
        <v>963</v>
      </c>
      <c r="E22" s="45" t="s">
        <v>1085</v>
      </c>
      <c r="F22" s="45" t="s">
        <v>997</v>
      </c>
      <c r="G22" s="45"/>
      <c r="H22" s="45"/>
      <c r="I22" s="49">
        <v>1</v>
      </c>
      <c r="J22" s="49">
        <v>1</v>
      </c>
      <c r="K22" s="49">
        <v>1</v>
      </c>
      <c r="L22" s="49">
        <v>1</v>
      </c>
      <c r="M22" s="49">
        <v>1</v>
      </c>
      <c r="N22" s="49">
        <v>1</v>
      </c>
      <c r="O22" s="49">
        <v>0.2</v>
      </c>
      <c r="P22" s="49">
        <v>0</v>
      </c>
      <c r="Q22" s="50">
        <f>SUMPRODUCT($K$11:$P$11,K22:P22)/0.8</f>
        <v>0.66249999999999998</v>
      </c>
      <c r="R22" s="50">
        <f>SUMPRODUCT($I$11:$P$11,I22:P22)</f>
        <v>0.73000000000000009</v>
      </c>
      <c r="S22" s="5"/>
      <c r="W22" s="4"/>
      <c r="X22" s="4"/>
    </row>
    <row r="23" spans="1:24" customFormat="1" ht="64.5" customHeight="1" x14ac:dyDescent="0.45">
      <c r="A23" s="27">
        <v>8170</v>
      </c>
      <c r="B23" s="28" t="str">
        <f t="shared" si="0"/>
        <v>Inprogress</v>
      </c>
      <c r="C23" s="43" t="s">
        <v>1065</v>
      </c>
      <c r="D23" s="42" t="s">
        <v>963</v>
      </c>
      <c r="E23" s="45" t="s">
        <v>1015</v>
      </c>
      <c r="F23" s="45" t="s">
        <v>1093</v>
      </c>
      <c r="G23" s="45" t="s">
        <v>1015</v>
      </c>
      <c r="H23" s="45"/>
      <c r="I23" s="49">
        <v>1</v>
      </c>
      <c r="J23" s="49">
        <v>1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50">
        <f t="shared" si="1"/>
        <v>0</v>
      </c>
      <c r="R23" s="50">
        <f t="shared" si="2"/>
        <v>0.2</v>
      </c>
      <c r="W23" s="4"/>
      <c r="X23" s="4"/>
    </row>
    <row r="24" spans="1:24" s="30" customFormat="1" ht="65.099999999999994" customHeight="1" x14ac:dyDescent="0.45">
      <c r="A24" s="27">
        <v>8168</v>
      </c>
      <c r="B24" s="28" t="str">
        <f t="shared" si="0"/>
        <v>Inprogress</v>
      </c>
      <c r="C24" s="43" t="s">
        <v>994</v>
      </c>
      <c r="D24" s="42" t="s">
        <v>963</v>
      </c>
      <c r="E24" s="45" t="s">
        <v>1079</v>
      </c>
      <c r="F24" s="45" t="s">
        <v>1094</v>
      </c>
      <c r="G24" s="45" t="s">
        <v>1079</v>
      </c>
      <c r="H24" s="45"/>
      <c r="I24" s="49">
        <v>1</v>
      </c>
      <c r="J24" s="49">
        <v>1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50">
        <f t="shared" si="1"/>
        <v>0</v>
      </c>
      <c r="R24" s="50">
        <f t="shared" si="2"/>
        <v>0.2</v>
      </c>
      <c r="S24" s="29"/>
      <c r="W24" s="31"/>
      <c r="X24" s="31"/>
    </row>
    <row r="25" spans="1:24" customFormat="1" ht="65.099999999999994" customHeight="1" x14ac:dyDescent="0.45">
      <c r="A25" s="27">
        <v>8186</v>
      </c>
      <c r="B25" s="28" t="str">
        <f>IF(R25=1,"On time","Inprogress")</f>
        <v>Inprogress</v>
      </c>
      <c r="C25" s="43" t="s">
        <v>1052</v>
      </c>
      <c r="D25" s="43" t="s">
        <v>963</v>
      </c>
      <c r="E25" s="45" t="s">
        <v>1096</v>
      </c>
      <c r="F25" s="45" t="s">
        <v>1086</v>
      </c>
      <c r="G25" s="45" t="s">
        <v>1096</v>
      </c>
      <c r="H25" s="45"/>
      <c r="I25" s="49">
        <v>1</v>
      </c>
      <c r="J25" s="49">
        <v>1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50">
        <f t="shared" ref="Q25" si="3">SUMPRODUCT($K$11:$P$11,K25:P25)/0.8</f>
        <v>0</v>
      </c>
      <c r="R25" s="50">
        <f t="shared" ref="R25" si="4">SUMPRODUCT($I$11:$P$11,I25:P25)</f>
        <v>0.2</v>
      </c>
      <c r="S25" s="5"/>
      <c r="W25" s="4"/>
      <c r="X25" s="4"/>
    </row>
    <row r="26" spans="1:24" customFormat="1" ht="65.099999999999994" customHeight="1" x14ac:dyDescent="0.45">
      <c r="A26" s="27">
        <v>8189</v>
      </c>
      <c r="B26" s="28" t="str">
        <f>IF(R26=1,"On time","Inprogress")</f>
        <v>Inprogress</v>
      </c>
      <c r="C26" s="43" t="s">
        <v>1071</v>
      </c>
      <c r="D26" s="43" t="s">
        <v>963</v>
      </c>
      <c r="E26" s="45" t="s">
        <v>996</v>
      </c>
      <c r="F26" s="45" t="s">
        <v>1015</v>
      </c>
      <c r="G26" s="45" t="s">
        <v>1080</v>
      </c>
      <c r="H26" s="45"/>
      <c r="I26" s="49">
        <v>1</v>
      </c>
      <c r="J26" s="49">
        <v>1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50">
        <f>SUMPRODUCT($K$11:$P$11,K26:P26)/0.8</f>
        <v>0</v>
      </c>
      <c r="R26" s="50">
        <f>SUMPRODUCT($I$12:$P$12,I26:P26)</f>
        <v>0.05</v>
      </c>
      <c r="S26" s="5"/>
      <c r="W26" s="4"/>
      <c r="X26" s="4"/>
    </row>
    <row r="27" spans="1:24" customFormat="1" ht="65.099999999999994" customHeight="1" x14ac:dyDescent="0.45">
      <c r="A27" s="27">
        <v>8164</v>
      </c>
      <c r="B27" s="28" t="str">
        <f t="shared" si="0"/>
        <v>Inprogress</v>
      </c>
      <c r="C27" s="43" t="s">
        <v>1006</v>
      </c>
      <c r="D27" s="42" t="s">
        <v>963</v>
      </c>
      <c r="E27" s="45" t="s">
        <v>1082</v>
      </c>
      <c r="F27" s="45" t="s">
        <v>1093</v>
      </c>
      <c r="G27" s="45"/>
      <c r="H27" s="45"/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50">
        <f t="shared" si="1"/>
        <v>0</v>
      </c>
      <c r="R27" s="50">
        <f t="shared" si="2"/>
        <v>0</v>
      </c>
      <c r="S27" s="5"/>
      <c r="W27" s="4"/>
      <c r="X27" s="4"/>
    </row>
    <row r="28" spans="1:24" customFormat="1" ht="65.099999999999994" customHeight="1" x14ac:dyDescent="0.45">
      <c r="A28" s="27">
        <v>8142</v>
      </c>
      <c r="B28" s="28" t="str">
        <f t="shared" si="0"/>
        <v>Inprogress</v>
      </c>
      <c r="C28" s="43" t="s">
        <v>999</v>
      </c>
      <c r="D28" s="42" t="s">
        <v>963</v>
      </c>
      <c r="E28" s="45" t="s">
        <v>1074</v>
      </c>
      <c r="F28" s="45" t="s">
        <v>1093</v>
      </c>
      <c r="G28" s="45"/>
      <c r="H28" s="45"/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50">
        <f t="shared" si="1"/>
        <v>0</v>
      </c>
      <c r="R28" s="50">
        <f t="shared" si="2"/>
        <v>0</v>
      </c>
      <c r="S28" s="5"/>
      <c r="W28" s="4"/>
      <c r="X28" s="4"/>
    </row>
    <row r="29" spans="1:24" customFormat="1" ht="65.099999999999994" customHeight="1" x14ac:dyDescent="0.45">
      <c r="A29" s="27">
        <v>8141</v>
      </c>
      <c r="B29" s="28" t="str">
        <f t="shared" si="0"/>
        <v>Inprogress</v>
      </c>
      <c r="C29" s="43" t="s">
        <v>1000</v>
      </c>
      <c r="D29" s="43" t="s">
        <v>989</v>
      </c>
      <c r="E29" s="45"/>
      <c r="F29" s="45" t="s">
        <v>1074</v>
      </c>
      <c r="G29" s="45"/>
      <c r="H29" s="45"/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50">
        <f t="shared" si="1"/>
        <v>0</v>
      </c>
      <c r="R29" s="50">
        <f t="shared" si="2"/>
        <v>0</v>
      </c>
      <c r="S29" s="5"/>
      <c r="W29" s="4"/>
      <c r="X29" s="4"/>
    </row>
    <row r="30" spans="1:24" customFormat="1" ht="65.099999999999994" customHeight="1" x14ac:dyDescent="0.45">
      <c r="A30" s="27">
        <v>8137</v>
      </c>
      <c r="B30" s="28" t="str">
        <f t="shared" si="0"/>
        <v>Inprogress</v>
      </c>
      <c r="C30" s="43" t="s">
        <v>1004</v>
      </c>
      <c r="D30" s="42" t="s">
        <v>963</v>
      </c>
      <c r="E30" s="45"/>
      <c r="F30" s="45"/>
      <c r="G30" s="45"/>
      <c r="H30" s="45"/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50">
        <f t="shared" si="1"/>
        <v>0</v>
      </c>
      <c r="R30" s="50">
        <f t="shared" si="2"/>
        <v>0</v>
      </c>
      <c r="S30" s="5"/>
      <c r="W30" s="4"/>
      <c r="X30" s="4"/>
    </row>
    <row r="31" spans="1:24" x14ac:dyDescent="0.45">
      <c r="F31" s="23"/>
      <c r="G31" s="23"/>
    </row>
    <row r="32" spans="1:24" x14ac:dyDescent="0.45">
      <c r="F32" s="23"/>
      <c r="G32" s="23"/>
    </row>
    <row r="33" spans="1:38" x14ac:dyDescent="0.45">
      <c r="F33" s="23"/>
      <c r="G33" s="23"/>
    </row>
    <row r="34" spans="1:38" x14ac:dyDescent="0.45">
      <c r="F34" s="23"/>
      <c r="G34" s="23"/>
    </row>
    <row r="35" spans="1:38" x14ac:dyDescent="0.45">
      <c r="F35" s="23"/>
      <c r="G35" s="23"/>
    </row>
    <row r="36" spans="1:38" x14ac:dyDescent="0.45">
      <c r="F36" s="23"/>
      <c r="G36" s="23"/>
    </row>
    <row r="37" spans="1:38" x14ac:dyDescent="0.45">
      <c r="F37" s="23"/>
      <c r="G37" s="23"/>
    </row>
    <row r="38" spans="1:38" x14ac:dyDescent="0.45">
      <c r="F38" s="23"/>
      <c r="G38" s="23"/>
    </row>
    <row r="39" spans="1:38" x14ac:dyDescent="0.45">
      <c r="F39" s="23"/>
      <c r="G39" s="23"/>
    </row>
    <row r="40" spans="1:38" x14ac:dyDescent="0.45">
      <c r="F40" s="23"/>
      <c r="G40" s="23"/>
    </row>
    <row r="41" spans="1:38" x14ac:dyDescent="0.45">
      <c r="F41" s="23"/>
      <c r="G41" s="23"/>
    </row>
    <row r="42" spans="1:38" s="25" customFormat="1" x14ac:dyDescent="0.45">
      <c r="A42" s="18"/>
      <c r="B42" s="19"/>
      <c r="C42" s="20"/>
      <c r="D42" s="20"/>
      <c r="E42" s="22"/>
      <c r="F42" s="23"/>
      <c r="G42" s="23"/>
      <c r="H42" s="22"/>
      <c r="K42" s="26"/>
      <c r="L42" s="26"/>
      <c r="M42" s="26"/>
      <c r="N42" s="26"/>
      <c r="O42" s="26"/>
      <c r="P42" s="26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s="25" customFormat="1" x14ac:dyDescent="0.45">
      <c r="A43" s="18"/>
      <c r="B43" s="19"/>
      <c r="C43" s="20"/>
      <c r="D43" s="20"/>
      <c r="E43" s="22"/>
      <c r="F43" s="23"/>
      <c r="G43" s="23"/>
      <c r="H43" s="22"/>
      <c r="K43" s="26"/>
      <c r="L43" s="26"/>
      <c r="M43" s="26"/>
      <c r="N43" s="26"/>
      <c r="O43" s="26"/>
      <c r="P43" s="26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s="25" customFormat="1" x14ac:dyDescent="0.45">
      <c r="A44" s="18"/>
      <c r="B44" s="19"/>
      <c r="C44" s="20"/>
      <c r="D44" s="20"/>
      <c r="E44" s="22"/>
      <c r="F44" s="23"/>
      <c r="G44" s="23"/>
      <c r="H44" s="22"/>
      <c r="K44" s="26"/>
      <c r="L44" s="26"/>
      <c r="M44" s="26"/>
      <c r="N44" s="26"/>
      <c r="O44" s="26"/>
      <c r="P44" s="26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s="25" customFormat="1" x14ac:dyDescent="0.45">
      <c r="A45" s="18"/>
      <c r="B45" s="19"/>
      <c r="C45" s="20"/>
      <c r="D45" s="20"/>
      <c r="E45" s="22"/>
      <c r="F45" s="23"/>
      <c r="G45" s="23"/>
      <c r="H45" s="22"/>
      <c r="K45" s="26"/>
      <c r="L45" s="26"/>
      <c r="M45" s="26"/>
      <c r="N45" s="26"/>
      <c r="O45" s="26"/>
      <c r="P45" s="26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s="25" customFormat="1" x14ac:dyDescent="0.45">
      <c r="A46" s="18"/>
      <c r="B46" s="19"/>
      <c r="C46" s="20"/>
      <c r="D46" s="20"/>
      <c r="E46" s="22"/>
      <c r="F46" s="23"/>
      <c r="G46" s="23"/>
      <c r="H46" s="22"/>
      <c r="K46" s="26"/>
      <c r="L46" s="26"/>
      <c r="M46" s="26"/>
      <c r="N46" s="26"/>
      <c r="O46" s="26"/>
      <c r="P46" s="26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25" customFormat="1" x14ac:dyDescent="0.45">
      <c r="A47" s="18"/>
      <c r="B47" s="19"/>
      <c r="C47" s="20"/>
      <c r="D47" s="20"/>
      <c r="E47" s="22"/>
      <c r="F47" s="23"/>
      <c r="G47" s="23"/>
      <c r="H47" s="22"/>
      <c r="K47" s="26"/>
      <c r="L47" s="26"/>
      <c r="M47" s="26"/>
      <c r="N47" s="26"/>
      <c r="O47" s="26"/>
      <c r="P47" s="26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s="25" customFormat="1" x14ac:dyDescent="0.45">
      <c r="A48" s="18"/>
      <c r="B48" s="19"/>
      <c r="C48" s="20"/>
      <c r="D48" s="20"/>
      <c r="E48" s="22"/>
      <c r="F48" s="23"/>
      <c r="G48" s="23"/>
      <c r="H48" s="22"/>
      <c r="K48" s="26"/>
      <c r="L48" s="26"/>
      <c r="M48" s="26"/>
      <c r="N48" s="26"/>
      <c r="O48" s="26"/>
      <c r="P48" s="26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s="25" customFormat="1" x14ac:dyDescent="0.45">
      <c r="A49" s="18"/>
      <c r="B49" s="19"/>
      <c r="C49" s="20"/>
      <c r="D49" s="20"/>
      <c r="E49" s="22"/>
      <c r="F49" s="23"/>
      <c r="G49" s="23"/>
      <c r="H49" s="22"/>
      <c r="K49" s="26"/>
      <c r="L49" s="26"/>
      <c r="M49" s="26"/>
      <c r="N49" s="26"/>
      <c r="O49" s="26"/>
      <c r="P49" s="26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s="25" customFormat="1" x14ac:dyDescent="0.45">
      <c r="A50" s="18"/>
      <c r="B50" s="19"/>
      <c r="C50" s="20"/>
      <c r="D50" s="20"/>
      <c r="E50" s="22"/>
      <c r="F50" s="23"/>
      <c r="G50" s="23"/>
      <c r="H50" s="22"/>
      <c r="K50" s="26"/>
      <c r="L50" s="26"/>
      <c r="M50" s="26"/>
      <c r="N50" s="26"/>
      <c r="O50" s="26"/>
      <c r="P50" s="26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s="25" customFormat="1" x14ac:dyDescent="0.45">
      <c r="A51" s="18"/>
      <c r="B51" s="19"/>
      <c r="C51" s="20"/>
      <c r="D51" s="20"/>
      <c r="E51" s="22" t="s">
        <v>925</v>
      </c>
      <c r="F51" s="23" t="s">
        <v>930</v>
      </c>
      <c r="G51" s="23" t="e">
        <f ca="1">[1]!s2m(E51)</f>
        <v>#NAME?</v>
      </c>
      <c r="H51" s="22" t="e">
        <f ca="1">[1]!s2m(F51)</f>
        <v>#NAME?</v>
      </c>
      <c r="I51" s="40" t="e">
        <f t="shared" ref="I51:I67" ca="1" si="5">H51-TODAY()</f>
        <v>#NAME?</v>
      </c>
      <c r="K51" s="26"/>
      <c r="L51" s="26"/>
      <c r="M51" s="26"/>
      <c r="N51" s="26"/>
      <c r="O51" s="26"/>
      <c r="P51" s="26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s="25" customFormat="1" x14ac:dyDescent="0.45">
      <c r="A52" s="18"/>
      <c r="B52" s="19"/>
      <c r="C52" s="20"/>
      <c r="D52" s="20"/>
      <c r="E52" s="22" t="s">
        <v>925</v>
      </c>
      <c r="F52" s="22" t="s">
        <v>930</v>
      </c>
      <c r="G52" s="23" t="e">
        <f ca="1">[1]!s2m(E52)</f>
        <v>#NAME?</v>
      </c>
      <c r="H52" s="22" t="e">
        <f ca="1">[1]!s2m(F52)</f>
        <v>#NAME?</v>
      </c>
      <c r="I52" s="40" t="e">
        <f t="shared" ca="1" si="5"/>
        <v>#NAME?</v>
      </c>
      <c r="K52" s="26"/>
      <c r="L52" s="26"/>
      <c r="M52" s="26"/>
      <c r="N52" s="26"/>
      <c r="O52" s="26"/>
      <c r="P52" s="26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s="25" customFormat="1" x14ac:dyDescent="0.45">
      <c r="A53" s="18"/>
      <c r="B53" s="19"/>
      <c r="C53" s="20"/>
      <c r="D53" s="20"/>
      <c r="E53" s="22" t="s">
        <v>926</v>
      </c>
      <c r="F53" s="22" t="s">
        <v>931</v>
      </c>
      <c r="G53" s="23" t="e">
        <f ca="1">[1]!s2m(E53)</f>
        <v>#NAME?</v>
      </c>
      <c r="H53" s="22" t="e">
        <f ca="1">[1]!s2m(F53)</f>
        <v>#NAME?</v>
      </c>
      <c r="I53" s="40" t="e">
        <f t="shared" ca="1" si="5"/>
        <v>#NAME?</v>
      </c>
      <c r="K53" s="26"/>
      <c r="L53" s="26"/>
      <c r="M53" s="26"/>
      <c r="N53" s="26"/>
      <c r="O53" s="26"/>
      <c r="P53" s="26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s="25" customFormat="1" x14ac:dyDescent="0.45">
      <c r="A54" s="18"/>
      <c r="B54" s="19"/>
      <c r="C54" s="20"/>
      <c r="D54" s="20"/>
      <c r="E54" s="22" t="s">
        <v>924</v>
      </c>
      <c r="F54" s="22" t="s">
        <v>932</v>
      </c>
      <c r="G54" s="23" t="e">
        <f ca="1">[1]!s2m(E54)</f>
        <v>#NAME?</v>
      </c>
      <c r="H54" s="22" t="e">
        <f ca="1">[1]!s2m(F54)</f>
        <v>#NAME?</v>
      </c>
      <c r="I54" s="40" t="e">
        <f t="shared" ca="1" si="5"/>
        <v>#NAME?</v>
      </c>
      <c r="K54" s="26"/>
      <c r="L54" s="26"/>
      <c r="M54" s="26"/>
      <c r="N54" s="26"/>
      <c r="O54" s="26"/>
      <c r="P54" s="26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s="25" customFormat="1" x14ac:dyDescent="0.45">
      <c r="A55" s="18"/>
      <c r="B55" s="19"/>
      <c r="C55" s="20"/>
      <c r="D55" s="20"/>
      <c r="E55" s="22" t="s">
        <v>927</v>
      </c>
      <c r="F55" s="22" t="s">
        <v>933</v>
      </c>
      <c r="G55" s="23" t="e">
        <f ca="1">[1]!s2m(E55)</f>
        <v>#NAME?</v>
      </c>
      <c r="H55" s="22" t="e">
        <f ca="1">[1]!s2m(F55)</f>
        <v>#NAME?</v>
      </c>
      <c r="I55" s="40" t="e">
        <f t="shared" ca="1" si="5"/>
        <v>#NAME?</v>
      </c>
      <c r="K55" s="26"/>
      <c r="L55" s="26"/>
      <c r="M55" s="26"/>
      <c r="N55" s="26"/>
      <c r="O55" s="26"/>
      <c r="P55" s="26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s="25" customFormat="1" x14ac:dyDescent="0.45">
      <c r="A56" s="18"/>
      <c r="B56" s="19"/>
      <c r="C56" s="20"/>
      <c r="D56" s="20"/>
      <c r="E56" s="22" t="s">
        <v>928</v>
      </c>
      <c r="F56" s="22" t="s">
        <v>934</v>
      </c>
      <c r="G56" s="23" t="e">
        <f ca="1">[1]!s2m(E56)</f>
        <v>#NAME?</v>
      </c>
      <c r="H56" s="22" t="e">
        <f ca="1">[1]!s2m(F56)</f>
        <v>#NAME?</v>
      </c>
      <c r="I56" s="40" t="e">
        <f t="shared" ca="1" si="5"/>
        <v>#NAME?</v>
      </c>
      <c r="K56" s="26"/>
      <c r="L56" s="26"/>
      <c r="M56" s="26"/>
      <c r="N56" s="26"/>
      <c r="O56" s="26"/>
      <c r="P56" s="26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s="25" customFormat="1" x14ac:dyDescent="0.45">
      <c r="A57" s="18"/>
      <c r="B57" s="19"/>
      <c r="C57" s="20"/>
      <c r="D57" s="20"/>
      <c r="E57" s="22" t="s">
        <v>929</v>
      </c>
      <c r="F57" s="22" t="s">
        <v>935</v>
      </c>
      <c r="G57" s="23" t="e">
        <f ca="1">[1]!s2m(E57)</f>
        <v>#NAME?</v>
      </c>
      <c r="H57" s="22" t="e">
        <f ca="1">[1]!s2m(F57)</f>
        <v>#NAME?</v>
      </c>
      <c r="I57" s="40" t="e">
        <f t="shared" ca="1" si="5"/>
        <v>#NAME?</v>
      </c>
      <c r="K57" s="26"/>
      <c r="L57" s="26"/>
      <c r="M57" s="26"/>
      <c r="N57" s="26"/>
      <c r="O57" s="26"/>
      <c r="P57" s="26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s="25" customFormat="1" x14ac:dyDescent="0.45">
      <c r="A58" s="18"/>
      <c r="B58" s="19"/>
      <c r="C58" s="20"/>
      <c r="D58" s="20"/>
      <c r="E58" s="22" t="s">
        <v>936</v>
      </c>
      <c r="F58" s="22" t="s">
        <v>943</v>
      </c>
      <c r="G58" s="23" t="e">
        <f ca="1">[1]!s2m(E58)</f>
        <v>#NAME?</v>
      </c>
      <c r="H58" s="22" t="e">
        <f ca="1">[1]!s2m(F58)</f>
        <v>#NAME?</v>
      </c>
      <c r="I58" s="40" t="e">
        <f t="shared" ca="1" si="5"/>
        <v>#NAME?</v>
      </c>
      <c r="K58" s="26"/>
      <c r="L58" s="26"/>
      <c r="M58" s="26"/>
      <c r="N58" s="26"/>
      <c r="O58" s="26"/>
      <c r="P58" s="26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s="25" customFormat="1" x14ac:dyDescent="0.45">
      <c r="A59" s="18"/>
      <c r="B59" s="19"/>
      <c r="C59" s="20"/>
      <c r="D59" s="20"/>
      <c r="E59" s="22" t="s">
        <v>937</v>
      </c>
      <c r="F59" s="22" t="s">
        <v>944</v>
      </c>
      <c r="G59" s="23" t="e">
        <f ca="1">[1]!s2m(E59)</f>
        <v>#NAME?</v>
      </c>
      <c r="H59" s="22" t="e">
        <f ca="1">[1]!s2m(F59)</f>
        <v>#NAME?</v>
      </c>
      <c r="I59" s="40" t="e">
        <f t="shared" ca="1" si="5"/>
        <v>#NAME?</v>
      </c>
      <c r="K59" s="26"/>
      <c r="L59" s="26"/>
      <c r="M59" s="26"/>
      <c r="N59" s="26"/>
      <c r="O59" s="26"/>
      <c r="P59" s="26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s="25" customFormat="1" x14ac:dyDescent="0.45">
      <c r="A60" s="18"/>
      <c r="B60" s="19"/>
      <c r="C60" s="20"/>
      <c r="D60" s="20"/>
      <c r="E60" s="22" t="s">
        <v>681</v>
      </c>
      <c r="F60" s="22" t="s">
        <v>945</v>
      </c>
      <c r="G60" s="23" t="e">
        <f ca="1">[1]!s2m(E60)</f>
        <v>#NAME?</v>
      </c>
      <c r="H60" s="22" t="e">
        <f ca="1">[1]!s2m(F60)</f>
        <v>#NAME?</v>
      </c>
      <c r="I60" s="40" t="e">
        <f t="shared" ca="1" si="5"/>
        <v>#NAME?</v>
      </c>
      <c r="K60" s="26"/>
      <c r="L60" s="26"/>
      <c r="M60" s="26"/>
      <c r="N60" s="26"/>
      <c r="O60" s="26"/>
      <c r="P60" s="26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s="25" customFormat="1" x14ac:dyDescent="0.45">
      <c r="A61" s="18"/>
      <c r="B61" s="19"/>
      <c r="C61" s="20"/>
      <c r="D61" s="20"/>
      <c r="E61" s="22" t="s">
        <v>938</v>
      </c>
      <c r="F61" s="22" t="s">
        <v>946</v>
      </c>
      <c r="G61" s="23" t="e">
        <f ca="1">[1]!s2m(E61)</f>
        <v>#NAME?</v>
      </c>
      <c r="H61" s="22" t="e">
        <f ca="1">[1]!s2m(F61)</f>
        <v>#NAME?</v>
      </c>
      <c r="I61" s="40" t="e">
        <f t="shared" ca="1" si="5"/>
        <v>#NAME?</v>
      </c>
      <c r="K61" s="26"/>
      <c r="L61" s="26"/>
      <c r="M61" s="26"/>
      <c r="N61" s="26"/>
      <c r="O61" s="26"/>
      <c r="P61" s="26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s="25" customFormat="1" x14ac:dyDescent="0.45">
      <c r="A62" s="18"/>
      <c r="B62" s="19"/>
      <c r="C62" s="20"/>
      <c r="D62" s="20"/>
      <c r="E62" s="22" t="s">
        <v>939</v>
      </c>
      <c r="F62" s="22" t="s">
        <v>947</v>
      </c>
      <c r="G62" s="23" t="e">
        <f ca="1">[1]!s2m(E62)</f>
        <v>#NAME?</v>
      </c>
      <c r="H62" s="22" t="e">
        <f ca="1">[1]!s2m(F62)</f>
        <v>#NAME?</v>
      </c>
      <c r="I62" s="40" t="e">
        <f t="shared" ca="1" si="5"/>
        <v>#NAME?</v>
      </c>
      <c r="K62" s="26"/>
      <c r="L62" s="26"/>
      <c r="M62" s="26"/>
      <c r="N62" s="26"/>
      <c r="O62" s="26"/>
      <c r="P62" s="26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1:38" s="25" customFormat="1" x14ac:dyDescent="0.45">
      <c r="A63" s="18"/>
      <c r="B63" s="19"/>
      <c r="C63" s="20"/>
      <c r="D63" s="20"/>
      <c r="E63" s="22" t="s">
        <v>940</v>
      </c>
      <c r="F63" s="22" t="s">
        <v>948</v>
      </c>
      <c r="G63" s="23" t="e">
        <f ca="1">[1]!s2m(E63)</f>
        <v>#NAME?</v>
      </c>
      <c r="H63" s="22" t="e">
        <f ca="1">[1]!s2m(F63)</f>
        <v>#NAME?</v>
      </c>
      <c r="I63" s="40" t="e">
        <f t="shared" ca="1" si="5"/>
        <v>#NAME?</v>
      </c>
      <c r="K63" s="26"/>
      <c r="L63" s="26"/>
      <c r="M63" s="26"/>
      <c r="N63" s="26"/>
      <c r="O63" s="26"/>
      <c r="P63" s="26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1:38" s="25" customFormat="1" x14ac:dyDescent="0.45">
      <c r="A64" s="18"/>
      <c r="B64" s="19"/>
      <c r="C64" s="20"/>
      <c r="D64" s="20"/>
      <c r="E64" s="22" t="s">
        <v>941</v>
      </c>
      <c r="F64" s="22" t="s">
        <v>949</v>
      </c>
      <c r="G64" s="23" t="e">
        <f ca="1">[1]!s2m(E64)</f>
        <v>#NAME?</v>
      </c>
      <c r="H64" s="22" t="e">
        <f ca="1">[1]!s2m(F64)</f>
        <v>#NAME?</v>
      </c>
      <c r="I64" s="40" t="e">
        <f t="shared" ca="1" si="5"/>
        <v>#NAME?</v>
      </c>
      <c r="K64" s="26"/>
      <c r="L64" s="26"/>
      <c r="M64" s="26"/>
      <c r="N64" s="26"/>
      <c r="O64" s="26"/>
      <c r="P64" s="26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8" s="25" customFormat="1" x14ac:dyDescent="0.45">
      <c r="A65" s="18"/>
      <c r="B65" s="19"/>
      <c r="C65" s="20"/>
      <c r="D65" s="20"/>
      <c r="E65" s="22" t="s">
        <v>942</v>
      </c>
      <c r="F65" s="22" t="s">
        <v>950</v>
      </c>
      <c r="G65" s="23" t="e">
        <f ca="1">[1]!s2m(E65)</f>
        <v>#NAME?</v>
      </c>
      <c r="H65" s="22" t="e">
        <f ca="1">[1]!s2m(F65)</f>
        <v>#NAME?</v>
      </c>
      <c r="I65" s="40" t="e">
        <f t="shared" ca="1" si="5"/>
        <v>#NAME?</v>
      </c>
      <c r="K65" s="26"/>
      <c r="L65" s="26"/>
      <c r="M65" s="26"/>
      <c r="N65" s="26"/>
      <c r="O65" s="26"/>
      <c r="P65" s="26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s="25" customFormat="1" x14ac:dyDescent="0.45">
      <c r="A66" s="18"/>
      <c r="B66" s="19"/>
      <c r="C66" s="20"/>
      <c r="D66" s="20"/>
      <c r="E66" s="22" t="s">
        <v>938</v>
      </c>
      <c r="F66" s="22" t="s">
        <v>946</v>
      </c>
      <c r="G66" s="23" t="e">
        <f ca="1">[1]!s2m(E66)</f>
        <v>#NAME?</v>
      </c>
      <c r="H66" s="22" t="e">
        <f ca="1">[1]!s2m(F66)</f>
        <v>#NAME?</v>
      </c>
      <c r="I66" s="40" t="e">
        <f t="shared" ca="1" si="5"/>
        <v>#NAME?</v>
      </c>
      <c r="K66" s="26"/>
      <c r="L66" s="26"/>
      <c r="M66" s="26"/>
      <c r="N66" s="26"/>
      <c r="O66" s="26"/>
      <c r="P66" s="26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s="25" customFormat="1" x14ac:dyDescent="0.45">
      <c r="A67" s="18"/>
      <c r="B67" s="19"/>
      <c r="C67" s="20"/>
      <c r="D67" s="20"/>
      <c r="E67" s="22" t="s">
        <v>942</v>
      </c>
      <c r="F67" s="22" t="s">
        <v>950</v>
      </c>
      <c r="G67" s="23" t="e">
        <f ca="1">[1]!s2m(E67)</f>
        <v>#NAME?</v>
      </c>
      <c r="H67" s="22" t="e">
        <f ca="1">[1]!s2m(F67)</f>
        <v>#NAME?</v>
      </c>
      <c r="I67" s="40" t="e">
        <f t="shared" ca="1" si="5"/>
        <v>#NAME?</v>
      </c>
      <c r="K67" s="26"/>
      <c r="L67" s="26"/>
      <c r="M67" s="26"/>
      <c r="N67" s="26"/>
      <c r="O67" s="26"/>
      <c r="P67" s="26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</sheetData>
  <mergeCells count="49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</mergeCells>
  <conditionalFormatting sqref="B13:B30">
    <cfRule type="cellIs" dxfId="26" priority="3" operator="equal">
      <formula>"Delete"</formula>
    </cfRule>
    <cfRule type="cellIs" dxfId="25" priority="8" operator="equal">
      <formula>"On time"</formula>
    </cfRule>
    <cfRule type="cellIs" dxfId="24" priority="9" operator="equal">
      <formula>"Delay"</formula>
    </cfRule>
    <cfRule type="cellIs" dxfId="23" priority="11" operator="equal">
      <formula>"Inprogress"</formula>
    </cfRule>
    <cfRule type="cellIs" dxfId="22" priority="12" operator="equal">
      <formula>"Ahead of schedule"</formula>
    </cfRule>
  </conditionalFormatting>
  <conditionalFormatting sqref="B6:D6">
    <cfRule type="cellIs" dxfId="21" priority="10" operator="equal">
      <formula>"Delay"</formula>
    </cfRule>
  </conditionalFormatting>
  <conditionalFormatting sqref="I13:R30">
    <cfRule type="cellIs" dxfId="20" priority="1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{B3D07966-052E-456B-A6A5-4C42DECB30CA}</x14:id>
        </ext>
      </extLst>
    </cfRule>
  </conditionalFormatting>
  <conditionalFormatting sqref="Q13:R30">
    <cfRule type="cellIs" dxfId="19" priority="5" operator="between">
      <formula>0.01</formula>
      <formula>0.99</formula>
    </cfRule>
    <cfRule type="cellIs" dxfId="18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D07966-052E-456B-A6A5-4C42DECB3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5" tint="-0.249977111117893"/>
  </sheetPr>
  <dimension ref="A1:AL62"/>
  <sheetViews>
    <sheetView topLeftCell="C1" zoomScale="70" zoomScaleNormal="70" zoomScaleSheetLayoutView="40" zoomScalePageLayoutView="40" workbookViewId="0">
      <selection activeCell="H6" sqref="H6:J7"/>
    </sheetView>
  </sheetViews>
  <sheetFormatPr defaultColWidth="9.1328125" defaultRowHeight="15.75" outlineLevelCol="1" x14ac:dyDescent="0.45"/>
  <cols>
    <col min="1" max="1" width="11.1328125" style="18" customWidth="1"/>
    <col min="2" max="2" width="18" style="19" customWidth="1"/>
    <col min="3" max="3" width="99.73046875" style="20" customWidth="1"/>
    <col min="4" max="4" width="18.265625" style="20" customWidth="1"/>
    <col min="5" max="5" width="23" style="22" customWidth="1" outlineLevel="1"/>
    <col min="6" max="6" width="24.86328125" style="22" customWidth="1" outlineLevel="1"/>
    <col min="7" max="7" width="22.3984375" style="22" customWidth="1" outlineLevel="1"/>
    <col min="8" max="8" width="22.265625" style="22" customWidth="1" outlineLevel="1"/>
    <col min="9" max="10" width="13.73046875" style="25" customWidth="1" outlineLevel="1"/>
    <col min="11" max="16" width="13.73046875" style="26" customWidth="1" outlineLevel="1"/>
    <col min="17" max="17" width="19.86328125" style="25" customWidth="1" outlineLevel="1"/>
    <col min="18" max="18" width="15.86328125" style="22" customWidth="1"/>
    <col min="19" max="25" width="10.3984375" style="22" customWidth="1"/>
    <col min="26" max="27" width="10.3984375" style="22" hidden="1" customWidth="1"/>
    <col min="28" max="28" width="10.3984375" style="22" customWidth="1"/>
    <col min="29" max="30" width="12.265625" style="22" customWidth="1"/>
    <col min="31" max="16384" width="9.1328125" style="22"/>
  </cols>
  <sheetData>
    <row r="1" spans="1:38" ht="16.149999999999999" thickBot="1" x14ac:dyDescent="0.5"/>
    <row r="2" spans="1:38" customFormat="1" ht="97.5" customHeight="1" x14ac:dyDescent="0.45">
      <c r="A2" s="126" t="s">
        <v>146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8"/>
      <c r="R2" s="129"/>
    </row>
    <row r="3" spans="1:38" customFormat="1" ht="19.7" customHeight="1" x14ac:dyDescent="0.45">
      <c r="A3" s="132"/>
      <c r="B3" s="132"/>
      <c r="C3" s="132"/>
      <c r="D3" s="35"/>
      <c r="E3" s="130" t="s">
        <v>153</v>
      </c>
      <c r="F3" s="130"/>
      <c r="G3" s="130"/>
      <c r="H3" s="102" t="s">
        <v>983</v>
      </c>
      <c r="I3" s="102"/>
      <c r="J3" s="102"/>
      <c r="K3" s="76" t="s">
        <v>922</v>
      </c>
      <c r="L3" s="76"/>
      <c r="M3" s="76"/>
      <c r="N3" s="111" t="s">
        <v>923</v>
      </c>
      <c r="O3" s="112"/>
      <c r="P3" s="113"/>
      <c r="Q3" s="130" t="s">
        <v>920</v>
      </c>
      <c r="R3" s="130"/>
    </row>
    <row r="4" spans="1:38" customFormat="1" ht="19.7" customHeight="1" thickBot="1" x14ac:dyDescent="0.5">
      <c r="A4" s="32" t="s">
        <v>150</v>
      </c>
      <c r="B4" s="133"/>
      <c r="C4" s="133"/>
      <c r="D4" s="36"/>
      <c r="E4" s="130"/>
      <c r="F4" s="130"/>
      <c r="G4" s="130"/>
      <c r="H4" s="102"/>
      <c r="I4" s="102"/>
      <c r="J4" s="102"/>
      <c r="K4" s="76"/>
      <c r="L4" s="76"/>
      <c r="M4" s="76"/>
      <c r="N4" s="114"/>
      <c r="O4" s="115"/>
      <c r="P4" s="116"/>
      <c r="Q4" s="130"/>
      <c r="R4" s="130"/>
    </row>
    <row r="5" spans="1:38" customFormat="1" ht="20.25" x14ac:dyDescent="0.45">
      <c r="A5" s="32" t="s">
        <v>151</v>
      </c>
      <c r="B5" s="134"/>
      <c r="C5" s="134"/>
      <c r="D5" s="37"/>
      <c r="E5" s="130"/>
      <c r="F5" s="130"/>
      <c r="G5" s="130"/>
      <c r="H5" s="102"/>
      <c r="I5" s="102"/>
      <c r="J5" s="102"/>
      <c r="K5" s="76"/>
      <c r="L5" s="76"/>
      <c r="M5" s="76"/>
      <c r="N5" s="117"/>
      <c r="O5" s="118"/>
      <c r="P5" s="119"/>
      <c r="Q5" s="130"/>
      <c r="R5" s="130"/>
      <c r="S5" s="105" t="s">
        <v>173</v>
      </c>
      <c r="T5" s="107" t="s">
        <v>147</v>
      </c>
      <c r="U5" s="107" t="s">
        <v>155</v>
      </c>
      <c r="V5" s="107" t="s">
        <v>156</v>
      </c>
      <c r="W5" s="107" t="s">
        <v>157</v>
      </c>
      <c r="X5" s="107" t="s">
        <v>158</v>
      </c>
      <c r="Y5" s="107" t="s">
        <v>159</v>
      </c>
      <c r="Z5" s="7"/>
      <c r="AA5" s="7"/>
      <c r="AB5" s="103" t="s">
        <v>160</v>
      </c>
      <c r="AC5" s="14"/>
      <c r="AL5" s="6"/>
    </row>
    <row r="6" spans="1:38" customFormat="1" ht="21.4" thickBot="1" x14ac:dyDescent="0.5">
      <c r="A6" s="32" t="s">
        <v>152</v>
      </c>
      <c r="B6" s="131"/>
      <c r="C6" s="131"/>
      <c r="D6" s="34"/>
      <c r="E6" s="101" t="s">
        <v>987</v>
      </c>
      <c r="F6" s="101"/>
      <c r="G6" s="101"/>
      <c r="H6" s="75" t="s">
        <v>921</v>
      </c>
      <c r="I6" s="75"/>
      <c r="J6" s="75"/>
      <c r="K6" s="75">
        <f>COUNTIF(B19:B25,"On time")</f>
        <v>4</v>
      </c>
      <c r="L6" s="75"/>
      <c r="M6" s="75"/>
      <c r="N6" s="120">
        <f>COUNTIF(B24:B25,"Inprogress")</f>
        <v>2</v>
      </c>
      <c r="O6" s="121"/>
      <c r="P6" s="122"/>
      <c r="Q6" s="109" t="s">
        <v>1098</v>
      </c>
      <c r="R6" s="109"/>
      <c r="S6" s="106"/>
      <c r="T6" s="108"/>
      <c r="U6" s="108"/>
      <c r="V6" s="108"/>
      <c r="W6" s="108"/>
      <c r="X6" s="108"/>
      <c r="Y6" s="108"/>
      <c r="AB6" s="104"/>
      <c r="AC6" s="15"/>
    </row>
    <row r="7" spans="1:38" customFormat="1" ht="28.5" x14ac:dyDescent="0.45">
      <c r="A7" s="33" t="s">
        <v>149</v>
      </c>
      <c r="B7" s="135"/>
      <c r="C7" s="135"/>
      <c r="D7" s="41"/>
      <c r="E7" s="101"/>
      <c r="F7" s="101"/>
      <c r="G7" s="101"/>
      <c r="H7" s="75"/>
      <c r="I7" s="75"/>
      <c r="J7" s="75"/>
      <c r="K7" s="75"/>
      <c r="L7" s="75"/>
      <c r="M7" s="75"/>
      <c r="N7" s="123"/>
      <c r="O7" s="124"/>
      <c r="P7" s="125"/>
      <c r="Q7" s="110">
        <v>0.45833333333333331</v>
      </c>
      <c r="R7" s="110"/>
      <c r="S7" s="16">
        <v>0</v>
      </c>
      <c r="T7" s="10">
        <v>0.05</v>
      </c>
      <c r="U7" s="10">
        <v>0.1</v>
      </c>
      <c r="V7" s="10">
        <v>0.15</v>
      </c>
      <c r="W7" s="10">
        <v>0.11</v>
      </c>
      <c r="X7" s="10">
        <v>0.2</v>
      </c>
      <c r="Y7" s="10">
        <v>0.24</v>
      </c>
      <c r="Z7" s="10">
        <v>0</v>
      </c>
      <c r="AA7" s="10">
        <v>0</v>
      </c>
      <c r="AB7" s="11">
        <v>0.15</v>
      </c>
      <c r="AC7" s="8" t="s">
        <v>171</v>
      </c>
    </row>
    <row r="8" spans="1:38" customFormat="1" ht="37.700000000000003" customHeight="1" thickBot="1" x14ac:dyDescent="0.5">
      <c r="A8" s="78" t="s">
        <v>956</v>
      </c>
      <c r="B8" s="78" t="s">
        <v>957</v>
      </c>
      <c r="C8" s="82" t="s">
        <v>958</v>
      </c>
      <c r="D8" s="82" t="s">
        <v>959</v>
      </c>
      <c r="E8" s="80" t="s">
        <v>974</v>
      </c>
      <c r="F8" s="80"/>
      <c r="G8" s="80" t="s">
        <v>973</v>
      </c>
      <c r="H8" s="80"/>
      <c r="I8" s="98" t="s">
        <v>972</v>
      </c>
      <c r="J8" s="99"/>
      <c r="K8" s="99"/>
      <c r="L8" s="99"/>
      <c r="M8" s="99"/>
      <c r="N8" s="99"/>
      <c r="O8" s="99"/>
      <c r="P8" s="100"/>
      <c r="Q8" s="87" t="s">
        <v>969</v>
      </c>
      <c r="R8" s="87" t="s">
        <v>970</v>
      </c>
      <c r="S8" s="17">
        <v>0.15</v>
      </c>
      <c r="T8" s="12">
        <v>0.05</v>
      </c>
      <c r="U8" s="12">
        <v>0.1</v>
      </c>
      <c r="V8" s="12">
        <v>0.15</v>
      </c>
      <c r="W8" s="12">
        <v>0.1</v>
      </c>
      <c r="X8" s="12">
        <v>0.15</v>
      </c>
      <c r="Y8" s="12">
        <v>0.15</v>
      </c>
      <c r="Z8" s="12">
        <v>0</v>
      </c>
      <c r="AA8" s="12">
        <v>0</v>
      </c>
      <c r="AB8" s="13">
        <v>0.15</v>
      </c>
      <c r="AC8" s="9" t="s">
        <v>172</v>
      </c>
    </row>
    <row r="9" spans="1:38" customFormat="1" ht="14.65" thickBot="1" x14ac:dyDescent="0.5">
      <c r="A9" s="78"/>
      <c r="B9" s="78"/>
      <c r="C9" s="83"/>
      <c r="D9" s="83"/>
      <c r="E9" s="80"/>
      <c r="F9" s="80"/>
      <c r="G9" s="80"/>
      <c r="H9" s="80"/>
      <c r="I9" s="136" t="s">
        <v>963</v>
      </c>
      <c r="J9" s="88" t="s">
        <v>981</v>
      </c>
      <c r="K9" s="89" t="s">
        <v>964</v>
      </c>
      <c r="L9" s="89" t="s">
        <v>965</v>
      </c>
      <c r="M9" s="89" t="s">
        <v>966</v>
      </c>
      <c r="N9" s="89" t="s">
        <v>971</v>
      </c>
      <c r="O9" s="89" t="s">
        <v>967</v>
      </c>
      <c r="P9" s="89" t="s">
        <v>968</v>
      </c>
      <c r="Q9" s="87"/>
      <c r="R9" s="87"/>
      <c r="S9" s="2"/>
      <c r="T9" s="2"/>
      <c r="U9" s="2">
        <v>0.2</v>
      </c>
      <c r="V9" s="2">
        <v>0.3</v>
      </c>
      <c r="W9" s="2"/>
      <c r="X9" s="2"/>
      <c r="AB9" s="13">
        <v>0.5</v>
      </c>
      <c r="AC9" t="s">
        <v>919</v>
      </c>
    </row>
    <row r="10" spans="1:38" customFormat="1" ht="36.4" customHeight="1" x14ac:dyDescent="0.45">
      <c r="A10" s="78"/>
      <c r="B10" s="78"/>
      <c r="C10" s="83"/>
      <c r="D10" s="83"/>
      <c r="E10" s="85" t="s">
        <v>960</v>
      </c>
      <c r="F10" s="85" t="s">
        <v>961</v>
      </c>
      <c r="G10" s="85" t="s">
        <v>962</v>
      </c>
      <c r="H10" s="85" t="s">
        <v>961</v>
      </c>
      <c r="I10" s="136"/>
      <c r="J10" s="88"/>
      <c r="K10" s="89"/>
      <c r="L10" s="89"/>
      <c r="M10" s="89"/>
      <c r="N10" s="89"/>
      <c r="O10" s="89"/>
      <c r="P10" s="89"/>
      <c r="Q10" s="87"/>
      <c r="R10" s="87"/>
      <c r="T10" s="3"/>
      <c r="U10" s="3"/>
      <c r="V10" s="3"/>
      <c r="W10" s="3"/>
    </row>
    <row r="11" spans="1:38" customFormat="1" ht="40.5" customHeight="1" x14ac:dyDescent="0.45">
      <c r="A11" s="78"/>
      <c r="B11" s="78"/>
      <c r="C11" s="84"/>
      <c r="D11" s="84"/>
      <c r="E11" s="86"/>
      <c r="F11" s="86"/>
      <c r="G11" s="86"/>
      <c r="H11" s="86"/>
      <c r="I11" s="56">
        <v>0.15</v>
      </c>
      <c r="J11" s="56">
        <v>0.05</v>
      </c>
      <c r="K11" s="56">
        <v>0.1</v>
      </c>
      <c r="L11" s="56">
        <v>0.15</v>
      </c>
      <c r="M11" s="56">
        <v>0.1</v>
      </c>
      <c r="N11" s="56">
        <v>0.15</v>
      </c>
      <c r="O11" s="56">
        <v>0.15</v>
      </c>
      <c r="P11" s="56">
        <v>0.15</v>
      </c>
      <c r="Q11" s="137">
        <f>AVERAGE(Q13:Q25)</f>
        <v>0.81730769230769229</v>
      </c>
      <c r="R11" s="139">
        <f>AVERAGE(R13:R25)</f>
        <v>0.82307692307692304</v>
      </c>
      <c r="T11" s="3"/>
      <c r="U11" s="3"/>
      <c r="V11" s="3"/>
      <c r="W11" s="3"/>
    </row>
    <row r="12" spans="1:38" customFormat="1" ht="40.5" customHeight="1" x14ac:dyDescent="0.45">
      <c r="A12" s="66"/>
      <c r="B12" s="66"/>
      <c r="C12" s="67"/>
      <c r="D12" s="67"/>
      <c r="E12" s="68"/>
      <c r="F12" s="68"/>
      <c r="G12" s="68"/>
      <c r="H12" s="68"/>
      <c r="I12" s="56">
        <v>0</v>
      </c>
      <c r="J12" s="56">
        <v>0.05</v>
      </c>
      <c r="K12" s="56">
        <v>0.1</v>
      </c>
      <c r="L12" s="56">
        <v>0.15</v>
      </c>
      <c r="M12" s="56">
        <v>0.11</v>
      </c>
      <c r="N12" s="56">
        <v>0.2</v>
      </c>
      <c r="O12" s="56">
        <v>0.24</v>
      </c>
      <c r="P12" s="56">
        <v>0.15</v>
      </c>
      <c r="Q12" s="138"/>
      <c r="R12" s="140"/>
    </row>
    <row r="13" spans="1:38" customFormat="1" ht="65.099999999999994" customHeight="1" x14ac:dyDescent="0.45">
      <c r="A13" s="27">
        <v>8218</v>
      </c>
      <c r="B13" s="28" t="str">
        <f t="shared" ref="B13:B25" si="0">IF(R13=1,"On time","Inprogress")</f>
        <v>On time</v>
      </c>
      <c r="C13" s="43" t="s">
        <v>1061</v>
      </c>
      <c r="D13" s="42" t="s">
        <v>989</v>
      </c>
      <c r="E13" s="45"/>
      <c r="F13" s="45" t="s">
        <v>990</v>
      </c>
      <c r="G13" s="45"/>
      <c r="H13" s="45" t="s">
        <v>954</v>
      </c>
      <c r="I13" s="49"/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49">
        <v>1</v>
      </c>
      <c r="P13" s="49">
        <v>1</v>
      </c>
      <c r="Q13" s="50">
        <f>SUMPRODUCT($K$11:$P$11,K13:P13)/0.8</f>
        <v>1</v>
      </c>
      <c r="R13" s="50">
        <f>SUMPRODUCT($I$12:$P$12,I13:P13)</f>
        <v>1</v>
      </c>
      <c r="S13" s="5"/>
      <c r="T13" s="30"/>
      <c r="W13" s="4"/>
      <c r="X13" s="4"/>
    </row>
    <row r="14" spans="1:38" customFormat="1" ht="65.099999999999994" customHeight="1" x14ac:dyDescent="0.45">
      <c r="A14" s="27">
        <v>8057</v>
      </c>
      <c r="B14" s="28" t="str">
        <f t="shared" si="0"/>
        <v>On time</v>
      </c>
      <c r="C14" s="43" t="s">
        <v>1037</v>
      </c>
      <c r="D14" s="43" t="s">
        <v>963</v>
      </c>
      <c r="E14" s="45" t="s">
        <v>1047</v>
      </c>
      <c r="F14" s="45" t="s">
        <v>997</v>
      </c>
      <c r="G14" s="45" t="s">
        <v>1047</v>
      </c>
      <c r="H14" s="45" t="s">
        <v>1084</v>
      </c>
      <c r="I14" s="49">
        <v>1</v>
      </c>
      <c r="J14" s="49">
        <v>1</v>
      </c>
      <c r="K14" s="49">
        <v>1</v>
      </c>
      <c r="L14" s="49">
        <v>1</v>
      </c>
      <c r="M14" s="49">
        <v>1</v>
      </c>
      <c r="N14" s="49">
        <v>1</v>
      </c>
      <c r="O14" s="49">
        <v>1</v>
      </c>
      <c r="P14" s="49">
        <v>1</v>
      </c>
      <c r="Q14" s="50">
        <f>SUMPRODUCT($K$11:$P$11,K14:P14)/0.8</f>
        <v>1</v>
      </c>
      <c r="R14" s="50">
        <f>SUMPRODUCT($I$11:$P$11,I14:P14)</f>
        <v>1</v>
      </c>
      <c r="S14" s="5"/>
      <c r="T14" s="30"/>
      <c r="W14" s="4"/>
      <c r="X14" s="4"/>
    </row>
    <row r="15" spans="1:38" customFormat="1" ht="65.099999999999994" customHeight="1" x14ac:dyDescent="0.45">
      <c r="A15" s="27">
        <v>7765</v>
      </c>
      <c r="B15" s="28" t="str">
        <f t="shared" si="0"/>
        <v>On time</v>
      </c>
      <c r="C15" s="43" t="s">
        <v>1033</v>
      </c>
      <c r="D15" s="43" t="s">
        <v>989</v>
      </c>
      <c r="E15" s="45"/>
      <c r="F15" s="45" t="s">
        <v>750</v>
      </c>
      <c r="G15" s="45"/>
      <c r="H15" s="45" t="s">
        <v>750</v>
      </c>
      <c r="I15" s="49"/>
      <c r="J15" s="49">
        <v>1</v>
      </c>
      <c r="K15" s="49">
        <v>1</v>
      </c>
      <c r="L15" s="49">
        <v>1</v>
      </c>
      <c r="M15" s="49">
        <v>1</v>
      </c>
      <c r="N15" s="49">
        <v>1</v>
      </c>
      <c r="O15" s="49">
        <v>1</v>
      </c>
      <c r="P15" s="49">
        <v>1</v>
      </c>
      <c r="Q15" s="50">
        <f t="shared" ref="Q15:Q16" si="1">SUMPRODUCT($K$11:$P$11,K15:P15)/0.8</f>
        <v>1</v>
      </c>
      <c r="R15" s="50">
        <f t="shared" ref="R15:R16" si="2">SUMPRODUCT($I$12:$P$12,I15:P15)</f>
        <v>1</v>
      </c>
      <c r="S15" s="5"/>
      <c r="W15" s="4"/>
      <c r="X15" s="4"/>
    </row>
    <row r="16" spans="1:38" customFormat="1" ht="65.099999999999994" customHeight="1" x14ac:dyDescent="0.45">
      <c r="A16" s="27">
        <v>8060</v>
      </c>
      <c r="B16" s="28" t="str">
        <f t="shared" si="0"/>
        <v>On time</v>
      </c>
      <c r="C16" s="43" t="s">
        <v>1035</v>
      </c>
      <c r="D16" s="43" t="s">
        <v>989</v>
      </c>
      <c r="E16" s="45"/>
      <c r="F16" s="45" t="s">
        <v>1082</v>
      </c>
      <c r="G16" s="45"/>
      <c r="H16" s="45" t="s">
        <v>1082</v>
      </c>
      <c r="I16" s="49"/>
      <c r="J16" s="49">
        <v>1</v>
      </c>
      <c r="K16" s="49">
        <v>1</v>
      </c>
      <c r="L16" s="49">
        <v>1</v>
      </c>
      <c r="M16" s="49">
        <v>1</v>
      </c>
      <c r="N16" s="49">
        <v>1</v>
      </c>
      <c r="O16" s="49">
        <v>1</v>
      </c>
      <c r="P16" s="49">
        <v>1</v>
      </c>
      <c r="Q16" s="50">
        <f t="shared" si="1"/>
        <v>1</v>
      </c>
      <c r="R16" s="50">
        <f t="shared" si="2"/>
        <v>1</v>
      </c>
      <c r="S16" s="5"/>
      <c r="W16" s="4"/>
      <c r="X16" s="4"/>
    </row>
    <row r="17" spans="1:24" customFormat="1" ht="65.099999999999994" customHeight="1" x14ac:dyDescent="0.45">
      <c r="A17" s="27">
        <v>8044</v>
      </c>
      <c r="B17" s="28" t="str">
        <f t="shared" si="0"/>
        <v>On time</v>
      </c>
      <c r="C17" s="43" t="s">
        <v>1056</v>
      </c>
      <c r="D17" s="43" t="s">
        <v>963</v>
      </c>
      <c r="E17" s="45" t="s">
        <v>955</v>
      </c>
      <c r="F17" s="45" t="s">
        <v>952</v>
      </c>
      <c r="G17" s="45" t="s">
        <v>955</v>
      </c>
      <c r="H17" s="45"/>
      <c r="I17" s="49">
        <v>1</v>
      </c>
      <c r="J17" s="49">
        <v>1</v>
      </c>
      <c r="K17" s="49">
        <v>1</v>
      </c>
      <c r="L17" s="49">
        <v>1</v>
      </c>
      <c r="M17" s="49">
        <v>1</v>
      </c>
      <c r="N17" s="49">
        <v>1</v>
      </c>
      <c r="O17" s="49">
        <v>1</v>
      </c>
      <c r="P17" s="49">
        <v>1</v>
      </c>
      <c r="Q17" s="50">
        <f t="shared" ref="Q17:Q24" si="3">SUMPRODUCT($K$11:$P$11,K17:P17)/0.8</f>
        <v>1</v>
      </c>
      <c r="R17" s="50">
        <f>SUMPRODUCT($I$11:$P$11,I17:P17)</f>
        <v>1</v>
      </c>
      <c r="S17" s="5"/>
      <c r="W17" s="4"/>
      <c r="X17" s="4"/>
    </row>
    <row r="18" spans="1:24" customFormat="1" ht="65.099999999999994" customHeight="1" x14ac:dyDescent="0.45">
      <c r="A18" s="27">
        <v>8056</v>
      </c>
      <c r="B18" s="28" t="str">
        <f t="shared" si="0"/>
        <v>On time</v>
      </c>
      <c r="C18" s="43" t="s">
        <v>1089</v>
      </c>
      <c r="D18" s="43" t="s">
        <v>963</v>
      </c>
      <c r="E18" s="45" t="s">
        <v>954</v>
      </c>
      <c r="F18" s="45" t="s">
        <v>952</v>
      </c>
      <c r="G18" s="45" t="s">
        <v>954</v>
      </c>
      <c r="H18" s="45" t="s">
        <v>1090</v>
      </c>
      <c r="I18" s="49">
        <v>1</v>
      </c>
      <c r="J18" s="49">
        <v>1</v>
      </c>
      <c r="K18" s="49">
        <v>1</v>
      </c>
      <c r="L18" s="49">
        <v>1</v>
      </c>
      <c r="M18" s="49">
        <v>1</v>
      </c>
      <c r="N18" s="49">
        <v>1</v>
      </c>
      <c r="O18" s="49">
        <v>1</v>
      </c>
      <c r="P18" s="49">
        <v>1</v>
      </c>
      <c r="Q18" s="50">
        <f t="shared" si="3"/>
        <v>1</v>
      </c>
      <c r="R18" s="50">
        <f>SUMPRODUCT($I$11:$P$11,I18:P18)</f>
        <v>1</v>
      </c>
      <c r="S18" s="5"/>
      <c r="W18" s="4"/>
      <c r="X18" s="4"/>
    </row>
    <row r="19" spans="1:24" customFormat="1" ht="65.099999999999994" customHeight="1" x14ac:dyDescent="0.45">
      <c r="A19" s="27">
        <v>8340</v>
      </c>
      <c r="B19" s="28" t="str">
        <f t="shared" si="0"/>
        <v>On time</v>
      </c>
      <c r="C19" s="43" t="s">
        <v>988</v>
      </c>
      <c r="D19" s="61" t="s">
        <v>989</v>
      </c>
      <c r="E19" s="45"/>
      <c r="F19" s="45" t="s">
        <v>1013</v>
      </c>
      <c r="G19" s="45"/>
      <c r="H19" s="45" t="s">
        <v>1088</v>
      </c>
      <c r="I19" s="49"/>
      <c r="J19" s="49">
        <v>1</v>
      </c>
      <c r="K19" s="49">
        <v>1</v>
      </c>
      <c r="L19" s="49">
        <v>1</v>
      </c>
      <c r="M19" s="49">
        <v>1</v>
      </c>
      <c r="N19" s="49">
        <v>1</v>
      </c>
      <c r="O19" s="49">
        <v>1</v>
      </c>
      <c r="P19" s="49">
        <v>1</v>
      </c>
      <c r="Q19" s="50">
        <f t="shared" si="3"/>
        <v>1</v>
      </c>
      <c r="R19" s="50">
        <f>SUMPRODUCT($I$12:$P$12,I19:P19)</f>
        <v>1</v>
      </c>
      <c r="S19" s="5"/>
      <c r="W19" s="4"/>
      <c r="X19" s="4"/>
    </row>
    <row r="20" spans="1:24" customFormat="1" ht="65.099999999999994" customHeight="1" x14ac:dyDescent="0.45">
      <c r="A20" s="27">
        <v>8058</v>
      </c>
      <c r="B20" s="28" t="str">
        <f>IF(R20=1,"On time","Inprogress")</f>
        <v>On time</v>
      </c>
      <c r="C20" s="43" t="s">
        <v>1036</v>
      </c>
      <c r="D20" s="43" t="s">
        <v>963</v>
      </c>
      <c r="E20" s="45" t="s">
        <v>1047</v>
      </c>
      <c r="F20" s="45" t="s">
        <v>997</v>
      </c>
      <c r="G20" s="45" t="s">
        <v>1047</v>
      </c>
      <c r="H20" s="45" t="s">
        <v>1082</v>
      </c>
      <c r="I20" s="49">
        <v>1</v>
      </c>
      <c r="J20" s="49">
        <v>1</v>
      </c>
      <c r="K20" s="49">
        <v>1</v>
      </c>
      <c r="L20" s="49">
        <v>1</v>
      </c>
      <c r="M20" s="49">
        <v>1</v>
      </c>
      <c r="N20" s="49">
        <v>1</v>
      </c>
      <c r="O20" s="49">
        <v>1</v>
      </c>
      <c r="P20" s="49">
        <v>1</v>
      </c>
      <c r="Q20" s="50">
        <f t="shared" si="3"/>
        <v>1</v>
      </c>
      <c r="R20" s="50">
        <f>SUMPRODUCT($I$11:$P$11,I20:P20)</f>
        <v>1</v>
      </c>
      <c r="S20" s="5"/>
      <c r="W20" s="4"/>
      <c r="X20" s="4"/>
    </row>
    <row r="21" spans="1:24" customFormat="1" ht="65.099999999999994" customHeight="1" x14ac:dyDescent="0.45">
      <c r="A21" s="27">
        <v>7868</v>
      </c>
      <c r="B21" s="28" t="str">
        <f>IF(R21=1,"On time","Inprogress")</f>
        <v>On time</v>
      </c>
      <c r="C21" s="43" t="s">
        <v>1099</v>
      </c>
      <c r="D21" s="43" t="s">
        <v>963</v>
      </c>
      <c r="E21" s="45" t="s">
        <v>1047</v>
      </c>
      <c r="F21" s="45" t="s">
        <v>997</v>
      </c>
      <c r="G21" s="45" t="s">
        <v>1047</v>
      </c>
      <c r="H21" s="45" t="s">
        <v>1082</v>
      </c>
      <c r="I21" s="49">
        <v>1</v>
      </c>
      <c r="J21" s="49">
        <v>1</v>
      </c>
      <c r="K21" s="49">
        <v>1</v>
      </c>
      <c r="L21" s="49">
        <v>1</v>
      </c>
      <c r="M21" s="49">
        <v>1</v>
      </c>
      <c r="N21" s="49">
        <v>1</v>
      </c>
      <c r="O21" s="49">
        <v>1</v>
      </c>
      <c r="P21" s="49">
        <v>1</v>
      </c>
      <c r="Q21" s="50">
        <f t="shared" si="3"/>
        <v>1</v>
      </c>
      <c r="R21" s="50">
        <f>SUMPRODUCT($I$11:$P$11,I21:P21)</f>
        <v>1</v>
      </c>
      <c r="S21" s="5"/>
      <c r="W21" s="4"/>
      <c r="X21" s="4"/>
    </row>
    <row r="22" spans="1:24" customFormat="1" ht="65.099999999999994" customHeight="1" x14ac:dyDescent="0.45">
      <c r="A22" s="27">
        <v>8045</v>
      </c>
      <c r="B22" s="28" t="str">
        <f>IF(R22=1,"On time","Inprogress")</f>
        <v>On time</v>
      </c>
      <c r="C22" s="43" t="s">
        <v>1066</v>
      </c>
      <c r="D22" s="43" t="s">
        <v>963</v>
      </c>
      <c r="E22" s="45" t="s">
        <v>1062</v>
      </c>
      <c r="F22" s="45" t="s">
        <v>997</v>
      </c>
      <c r="G22" s="45" t="s">
        <v>1062</v>
      </c>
      <c r="H22" s="45"/>
      <c r="I22" s="49">
        <v>1</v>
      </c>
      <c r="J22" s="49">
        <v>1</v>
      </c>
      <c r="K22" s="49">
        <v>1</v>
      </c>
      <c r="L22" s="49">
        <v>1</v>
      </c>
      <c r="M22" s="49">
        <v>1</v>
      </c>
      <c r="N22" s="49">
        <v>1</v>
      </c>
      <c r="O22" s="49">
        <v>1</v>
      </c>
      <c r="P22" s="49">
        <v>1</v>
      </c>
      <c r="Q22" s="50">
        <f t="shared" si="3"/>
        <v>1</v>
      </c>
      <c r="R22" s="50">
        <f>SUMPRODUCT($I$11:$P$11,I22:P22)</f>
        <v>1</v>
      </c>
      <c r="S22" s="5"/>
      <c r="W22" s="4"/>
      <c r="X22" s="4"/>
    </row>
    <row r="23" spans="1:24" customFormat="1" ht="65.099999999999994" customHeight="1" x14ac:dyDescent="0.45">
      <c r="A23" s="27">
        <v>8048</v>
      </c>
      <c r="B23" s="28" t="str">
        <f>IF(R23=1,"On time","Inprogress")</f>
        <v>Inprogress</v>
      </c>
      <c r="C23" s="43" t="s">
        <v>1060</v>
      </c>
      <c r="D23" s="43" t="s">
        <v>963</v>
      </c>
      <c r="E23" s="45" t="s">
        <v>1062</v>
      </c>
      <c r="F23" s="45" t="s">
        <v>997</v>
      </c>
      <c r="G23" s="45" t="s">
        <v>1062</v>
      </c>
      <c r="H23" s="45"/>
      <c r="I23" s="49">
        <v>1</v>
      </c>
      <c r="J23" s="49">
        <v>1</v>
      </c>
      <c r="K23" s="49">
        <v>1</v>
      </c>
      <c r="L23" s="49">
        <v>1</v>
      </c>
      <c r="M23" s="49">
        <v>1</v>
      </c>
      <c r="N23" s="49">
        <v>1</v>
      </c>
      <c r="O23" s="49">
        <v>0</v>
      </c>
      <c r="P23" s="49">
        <v>0</v>
      </c>
      <c r="Q23" s="50">
        <f t="shared" si="3"/>
        <v>0.625</v>
      </c>
      <c r="R23" s="50">
        <f>SUMPRODUCT($I$11:$P$11,I23:P23)</f>
        <v>0.70000000000000007</v>
      </c>
      <c r="S23" s="5"/>
      <c r="W23" s="4"/>
      <c r="X23" s="4"/>
    </row>
    <row r="24" spans="1:24" customFormat="1" ht="65.099999999999994" customHeight="1" x14ac:dyDescent="0.45">
      <c r="A24" s="27">
        <v>8061</v>
      </c>
      <c r="B24" s="28" t="str">
        <f t="shared" si="0"/>
        <v>Inprogress</v>
      </c>
      <c r="C24" s="43" t="s">
        <v>1034</v>
      </c>
      <c r="D24" s="43" t="s">
        <v>989</v>
      </c>
      <c r="E24" s="45"/>
      <c r="F24" s="45" t="s">
        <v>951</v>
      </c>
      <c r="G24" s="45"/>
      <c r="H24" s="45"/>
      <c r="I24" s="49"/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50">
        <f t="shared" si="3"/>
        <v>0</v>
      </c>
      <c r="R24" s="50">
        <f>SUMPRODUCT($I$12:$P$12,I24:P24)</f>
        <v>0</v>
      </c>
      <c r="S24" s="5"/>
      <c r="W24" s="4"/>
      <c r="X24" s="4"/>
    </row>
    <row r="25" spans="1:24" customFormat="1" ht="65.099999999999994" customHeight="1" x14ac:dyDescent="0.45">
      <c r="A25" s="27">
        <v>8047</v>
      </c>
      <c r="B25" s="28" t="str">
        <f t="shared" si="0"/>
        <v>Inprogress</v>
      </c>
      <c r="C25" s="43" t="s">
        <v>1058</v>
      </c>
      <c r="D25" s="43" t="s">
        <v>963</v>
      </c>
      <c r="E25" s="45" t="s">
        <v>1062</v>
      </c>
      <c r="F25" s="45" t="s">
        <v>997</v>
      </c>
      <c r="G25" s="45"/>
      <c r="H25" s="45"/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50">
        <f t="shared" ref="Q25" si="4">SUMPRODUCT($K$11:$P$11,K25:P25)/0.8</f>
        <v>0</v>
      </c>
      <c r="R25" s="50">
        <f t="shared" ref="R25" si="5">SUMPRODUCT($I$11:$P$11,I25:P25)</f>
        <v>0</v>
      </c>
      <c r="S25" s="5"/>
      <c r="W25" s="4"/>
      <c r="X25" s="4"/>
    </row>
    <row r="26" spans="1:24" x14ac:dyDescent="0.45">
      <c r="F26" s="23"/>
      <c r="G26" s="23"/>
    </row>
    <row r="27" spans="1:24" x14ac:dyDescent="0.45">
      <c r="F27" s="23"/>
      <c r="G27" s="23"/>
    </row>
    <row r="28" spans="1:24" x14ac:dyDescent="0.45">
      <c r="F28" s="23"/>
      <c r="G28" s="23"/>
    </row>
    <row r="29" spans="1:24" x14ac:dyDescent="0.45">
      <c r="F29" s="23"/>
      <c r="G29" s="23"/>
    </row>
    <row r="30" spans="1:24" x14ac:dyDescent="0.45">
      <c r="F30" s="23"/>
      <c r="G30" s="23"/>
    </row>
    <row r="31" spans="1:24" x14ac:dyDescent="0.45">
      <c r="F31" s="23"/>
      <c r="G31" s="23"/>
    </row>
    <row r="32" spans="1:24" x14ac:dyDescent="0.45">
      <c r="F32" s="23"/>
      <c r="G32" s="23"/>
    </row>
    <row r="33" spans="1:38" x14ac:dyDescent="0.45">
      <c r="F33" s="23"/>
      <c r="G33" s="23"/>
    </row>
    <row r="34" spans="1:38" x14ac:dyDescent="0.45">
      <c r="F34" s="23"/>
      <c r="G34" s="23"/>
    </row>
    <row r="35" spans="1:38" x14ac:dyDescent="0.45">
      <c r="F35" s="23"/>
      <c r="G35" s="23"/>
    </row>
    <row r="36" spans="1:38" x14ac:dyDescent="0.45">
      <c r="F36" s="23"/>
      <c r="G36" s="23"/>
    </row>
    <row r="37" spans="1:38" s="25" customFormat="1" x14ac:dyDescent="0.45">
      <c r="A37" s="18"/>
      <c r="B37" s="19"/>
      <c r="C37" s="20"/>
      <c r="D37" s="20"/>
      <c r="E37" s="22"/>
      <c r="F37" s="23"/>
      <c r="G37" s="23"/>
      <c r="H37" s="22"/>
      <c r="K37" s="26"/>
      <c r="L37" s="26"/>
      <c r="M37" s="26"/>
      <c r="N37" s="26"/>
      <c r="O37" s="26"/>
      <c r="P37" s="26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s="25" customFormat="1" x14ac:dyDescent="0.45">
      <c r="A38" s="18"/>
      <c r="B38" s="19"/>
      <c r="C38" s="20"/>
      <c r="D38" s="20"/>
      <c r="E38" s="22"/>
      <c r="F38" s="23"/>
      <c r="G38" s="23"/>
      <c r="H38" s="22"/>
      <c r="K38" s="26"/>
      <c r="L38" s="26"/>
      <c r="M38" s="26"/>
      <c r="N38" s="26"/>
      <c r="O38" s="26"/>
      <c r="P38" s="26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s="25" customFormat="1" x14ac:dyDescent="0.45">
      <c r="A39" s="18"/>
      <c r="B39" s="19"/>
      <c r="C39" s="20"/>
      <c r="D39" s="20"/>
      <c r="E39" s="22"/>
      <c r="F39" s="23"/>
      <c r="G39" s="23"/>
      <c r="H39" s="22"/>
      <c r="K39" s="26"/>
      <c r="L39" s="26"/>
      <c r="M39" s="26"/>
      <c r="N39" s="26"/>
      <c r="O39" s="26"/>
      <c r="P39" s="26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s="25" customFormat="1" x14ac:dyDescent="0.45">
      <c r="A40" s="18"/>
      <c r="B40" s="19"/>
      <c r="C40" s="20"/>
      <c r="D40" s="20"/>
      <c r="E40" s="22"/>
      <c r="F40" s="23"/>
      <c r="G40" s="23"/>
      <c r="H40" s="22"/>
      <c r="K40" s="26"/>
      <c r="L40" s="26"/>
      <c r="M40" s="26"/>
      <c r="N40" s="26"/>
      <c r="O40" s="26"/>
      <c r="P40" s="26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25" customFormat="1" x14ac:dyDescent="0.45">
      <c r="A41" s="18"/>
      <c r="B41" s="19"/>
      <c r="C41" s="20"/>
      <c r="D41" s="20"/>
      <c r="E41" s="22"/>
      <c r="F41" s="23"/>
      <c r="G41" s="23"/>
      <c r="H41" s="22"/>
      <c r="K41" s="26"/>
      <c r="L41" s="26"/>
      <c r="M41" s="26"/>
      <c r="N41" s="26"/>
      <c r="O41" s="26"/>
      <c r="P41" s="26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s="25" customFormat="1" x14ac:dyDescent="0.45">
      <c r="A42" s="18"/>
      <c r="B42" s="19"/>
      <c r="C42" s="20"/>
      <c r="D42" s="20"/>
      <c r="E42" s="22"/>
      <c r="F42" s="23"/>
      <c r="G42" s="23"/>
      <c r="H42" s="22"/>
      <c r="K42" s="26"/>
      <c r="L42" s="26"/>
      <c r="M42" s="26"/>
      <c r="N42" s="26"/>
      <c r="O42" s="26"/>
      <c r="P42" s="26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s="25" customFormat="1" x14ac:dyDescent="0.45">
      <c r="A43" s="18"/>
      <c r="B43" s="19"/>
      <c r="C43" s="20"/>
      <c r="D43" s="20"/>
      <c r="E43" s="22"/>
      <c r="F43" s="23"/>
      <c r="G43" s="23"/>
      <c r="H43" s="22"/>
      <c r="K43" s="26"/>
      <c r="L43" s="26"/>
      <c r="M43" s="26"/>
      <c r="N43" s="26"/>
      <c r="O43" s="26"/>
      <c r="P43" s="26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s="25" customFormat="1" x14ac:dyDescent="0.45">
      <c r="A44" s="18"/>
      <c r="B44" s="19"/>
      <c r="C44" s="20"/>
      <c r="D44" s="20"/>
      <c r="E44" s="22"/>
      <c r="F44" s="23"/>
      <c r="G44" s="23"/>
      <c r="H44" s="22"/>
      <c r="K44" s="26"/>
      <c r="L44" s="26"/>
      <c r="M44" s="26"/>
      <c r="N44" s="26"/>
      <c r="O44" s="26"/>
      <c r="P44" s="26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s="25" customFormat="1" x14ac:dyDescent="0.45">
      <c r="A45" s="18"/>
      <c r="B45" s="19"/>
      <c r="C45" s="20"/>
      <c r="D45" s="20"/>
      <c r="E45" s="22"/>
      <c r="F45" s="23"/>
      <c r="G45" s="23"/>
      <c r="H45" s="22"/>
      <c r="K45" s="26"/>
      <c r="L45" s="26"/>
      <c r="M45" s="26"/>
      <c r="N45" s="26"/>
      <c r="O45" s="26"/>
      <c r="P45" s="26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s="25" customFormat="1" x14ac:dyDescent="0.45">
      <c r="A46" s="18"/>
      <c r="B46" s="19"/>
      <c r="C46" s="20"/>
      <c r="D46" s="20"/>
      <c r="E46" s="22" t="s">
        <v>925</v>
      </c>
      <c r="F46" s="23" t="s">
        <v>930</v>
      </c>
      <c r="G46" s="23" t="e">
        <f ca="1">[1]!s2m(E46)</f>
        <v>#NAME?</v>
      </c>
      <c r="H46" s="22" t="e">
        <f ca="1">[1]!s2m(F46)</f>
        <v>#NAME?</v>
      </c>
      <c r="I46" s="40" t="e">
        <f t="shared" ref="I46:I62" ca="1" si="6">H46-TODAY()</f>
        <v>#NAME?</v>
      </c>
      <c r="K46" s="26"/>
      <c r="L46" s="26"/>
      <c r="M46" s="26"/>
      <c r="N46" s="26"/>
      <c r="O46" s="26"/>
      <c r="P46" s="26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25" customFormat="1" x14ac:dyDescent="0.45">
      <c r="A47" s="18"/>
      <c r="B47" s="19"/>
      <c r="C47" s="20"/>
      <c r="D47" s="20"/>
      <c r="E47" s="22" t="s">
        <v>925</v>
      </c>
      <c r="F47" s="22" t="s">
        <v>930</v>
      </c>
      <c r="G47" s="23" t="e">
        <f ca="1">[1]!s2m(E47)</f>
        <v>#NAME?</v>
      </c>
      <c r="H47" s="22" t="e">
        <f ca="1">[1]!s2m(F47)</f>
        <v>#NAME?</v>
      </c>
      <c r="I47" s="40" t="e">
        <f t="shared" ca="1" si="6"/>
        <v>#NAME?</v>
      </c>
      <c r="K47" s="26"/>
      <c r="L47" s="26"/>
      <c r="M47" s="26"/>
      <c r="N47" s="26"/>
      <c r="O47" s="26"/>
      <c r="P47" s="26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s="25" customFormat="1" x14ac:dyDescent="0.45">
      <c r="A48" s="18"/>
      <c r="B48" s="19"/>
      <c r="C48" s="20"/>
      <c r="D48" s="20"/>
      <c r="E48" s="22" t="s">
        <v>926</v>
      </c>
      <c r="F48" s="22" t="s">
        <v>931</v>
      </c>
      <c r="G48" s="23" t="e">
        <f ca="1">[1]!s2m(E48)</f>
        <v>#NAME?</v>
      </c>
      <c r="H48" s="22" t="e">
        <f ca="1">[1]!s2m(F48)</f>
        <v>#NAME?</v>
      </c>
      <c r="I48" s="40" t="e">
        <f t="shared" ca="1" si="6"/>
        <v>#NAME?</v>
      </c>
      <c r="K48" s="26"/>
      <c r="L48" s="26"/>
      <c r="M48" s="26"/>
      <c r="N48" s="26"/>
      <c r="O48" s="26"/>
      <c r="P48" s="26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s="25" customFormat="1" x14ac:dyDescent="0.45">
      <c r="A49" s="18"/>
      <c r="B49" s="19"/>
      <c r="C49" s="20"/>
      <c r="D49" s="20"/>
      <c r="E49" s="22" t="s">
        <v>924</v>
      </c>
      <c r="F49" s="22" t="s">
        <v>932</v>
      </c>
      <c r="G49" s="23" t="e">
        <f ca="1">[1]!s2m(E49)</f>
        <v>#NAME?</v>
      </c>
      <c r="H49" s="22" t="e">
        <f ca="1">[1]!s2m(F49)</f>
        <v>#NAME?</v>
      </c>
      <c r="I49" s="40" t="e">
        <f t="shared" ca="1" si="6"/>
        <v>#NAME?</v>
      </c>
      <c r="K49" s="26"/>
      <c r="L49" s="26"/>
      <c r="M49" s="26"/>
      <c r="N49" s="26"/>
      <c r="O49" s="26"/>
      <c r="P49" s="26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s="25" customFormat="1" x14ac:dyDescent="0.45">
      <c r="A50" s="18"/>
      <c r="B50" s="19"/>
      <c r="C50" s="20"/>
      <c r="D50" s="20"/>
      <c r="E50" s="22" t="s">
        <v>927</v>
      </c>
      <c r="F50" s="22" t="s">
        <v>933</v>
      </c>
      <c r="G50" s="23" t="e">
        <f ca="1">[1]!s2m(E50)</f>
        <v>#NAME?</v>
      </c>
      <c r="H50" s="22" t="e">
        <f ca="1">[1]!s2m(F50)</f>
        <v>#NAME?</v>
      </c>
      <c r="I50" s="40" t="e">
        <f t="shared" ca="1" si="6"/>
        <v>#NAME?</v>
      </c>
      <c r="K50" s="26"/>
      <c r="L50" s="26"/>
      <c r="M50" s="26"/>
      <c r="N50" s="26"/>
      <c r="O50" s="26"/>
      <c r="P50" s="26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s="25" customFormat="1" x14ac:dyDescent="0.45">
      <c r="A51" s="18"/>
      <c r="B51" s="19"/>
      <c r="C51" s="20"/>
      <c r="D51" s="20"/>
      <c r="E51" s="22" t="s">
        <v>928</v>
      </c>
      <c r="F51" s="22" t="s">
        <v>934</v>
      </c>
      <c r="G51" s="23" t="e">
        <f ca="1">[1]!s2m(E51)</f>
        <v>#NAME?</v>
      </c>
      <c r="H51" s="22" t="e">
        <f ca="1">[1]!s2m(F51)</f>
        <v>#NAME?</v>
      </c>
      <c r="I51" s="40" t="e">
        <f t="shared" ca="1" si="6"/>
        <v>#NAME?</v>
      </c>
      <c r="K51" s="26"/>
      <c r="L51" s="26"/>
      <c r="M51" s="26"/>
      <c r="N51" s="26"/>
      <c r="O51" s="26"/>
      <c r="P51" s="26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s="25" customFormat="1" x14ac:dyDescent="0.45">
      <c r="A52" s="18"/>
      <c r="B52" s="19"/>
      <c r="C52" s="20"/>
      <c r="D52" s="20"/>
      <c r="E52" s="22" t="s">
        <v>929</v>
      </c>
      <c r="F52" s="22" t="s">
        <v>935</v>
      </c>
      <c r="G52" s="23" t="e">
        <f ca="1">[1]!s2m(E52)</f>
        <v>#NAME?</v>
      </c>
      <c r="H52" s="22" t="e">
        <f ca="1">[1]!s2m(F52)</f>
        <v>#NAME?</v>
      </c>
      <c r="I52" s="40" t="e">
        <f t="shared" ca="1" si="6"/>
        <v>#NAME?</v>
      </c>
      <c r="K52" s="26"/>
      <c r="L52" s="26"/>
      <c r="M52" s="26"/>
      <c r="N52" s="26"/>
      <c r="O52" s="26"/>
      <c r="P52" s="26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s="25" customFormat="1" x14ac:dyDescent="0.45">
      <c r="A53" s="18"/>
      <c r="B53" s="19"/>
      <c r="C53" s="20"/>
      <c r="D53" s="20"/>
      <c r="E53" s="22" t="s">
        <v>936</v>
      </c>
      <c r="F53" s="22" t="s">
        <v>943</v>
      </c>
      <c r="G53" s="23" t="e">
        <f ca="1">[1]!s2m(E53)</f>
        <v>#NAME?</v>
      </c>
      <c r="H53" s="22" t="e">
        <f ca="1">[1]!s2m(F53)</f>
        <v>#NAME?</v>
      </c>
      <c r="I53" s="40" t="e">
        <f t="shared" ca="1" si="6"/>
        <v>#NAME?</v>
      </c>
      <c r="K53" s="26"/>
      <c r="L53" s="26"/>
      <c r="M53" s="26"/>
      <c r="N53" s="26"/>
      <c r="O53" s="26"/>
      <c r="P53" s="26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s="25" customFormat="1" x14ac:dyDescent="0.45">
      <c r="A54" s="18"/>
      <c r="B54" s="19"/>
      <c r="C54" s="20"/>
      <c r="D54" s="20"/>
      <c r="E54" s="22" t="s">
        <v>937</v>
      </c>
      <c r="F54" s="22" t="s">
        <v>944</v>
      </c>
      <c r="G54" s="23" t="e">
        <f ca="1">[1]!s2m(E54)</f>
        <v>#NAME?</v>
      </c>
      <c r="H54" s="22" t="e">
        <f ca="1">[1]!s2m(F54)</f>
        <v>#NAME?</v>
      </c>
      <c r="I54" s="40" t="e">
        <f t="shared" ca="1" si="6"/>
        <v>#NAME?</v>
      </c>
      <c r="K54" s="26"/>
      <c r="L54" s="26"/>
      <c r="M54" s="26"/>
      <c r="N54" s="26"/>
      <c r="O54" s="26"/>
      <c r="P54" s="26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s="25" customFormat="1" x14ac:dyDescent="0.45">
      <c r="A55" s="18"/>
      <c r="B55" s="19"/>
      <c r="C55" s="20"/>
      <c r="D55" s="20"/>
      <c r="E55" s="22" t="s">
        <v>681</v>
      </c>
      <c r="F55" s="22" t="s">
        <v>945</v>
      </c>
      <c r="G55" s="23" t="e">
        <f ca="1">[1]!s2m(E55)</f>
        <v>#NAME?</v>
      </c>
      <c r="H55" s="22" t="e">
        <f ca="1">[1]!s2m(F55)</f>
        <v>#NAME?</v>
      </c>
      <c r="I55" s="40" t="e">
        <f t="shared" ca="1" si="6"/>
        <v>#NAME?</v>
      </c>
      <c r="K55" s="26"/>
      <c r="L55" s="26"/>
      <c r="M55" s="26"/>
      <c r="N55" s="26"/>
      <c r="O55" s="26"/>
      <c r="P55" s="26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s="25" customFormat="1" x14ac:dyDescent="0.45">
      <c r="A56" s="18"/>
      <c r="B56" s="19"/>
      <c r="C56" s="20"/>
      <c r="D56" s="20"/>
      <c r="E56" s="22" t="s">
        <v>938</v>
      </c>
      <c r="F56" s="22" t="s">
        <v>946</v>
      </c>
      <c r="G56" s="23" t="e">
        <f ca="1">[1]!s2m(E56)</f>
        <v>#NAME?</v>
      </c>
      <c r="H56" s="22" t="e">
        <f ca="1">[1]!s2m(F56)</f>
        <v>#NAME?</v>
      </c>
      <c r="I56" s="40" t="e">
        <f t="shared" ca="1" si="6"/>
        <v>#NAME?</v>
      </c>
      <c r="K56" s="26"/>
      <c r="L56" s="26"/>
      <c r="M56" s="26"/>
      <c r="N56" s="26"/>
      <c r="O56" s="26"/>
      <c r="P56" s="26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s="25" customFormat="1" x14ac:dyDescent="0.45">
      <c r="A57" s="18"/>
      <c r="B57" s="19"/>
      <c r="C57" s="20"/>
      <c r="D57" s="20"/>
      <c r="E57" s="22" t="s">
        <v>939</v>
      </c>
      <c r="F57" s="22" t="s">
        <v>947</v>
      </c>
      <c r="G57" s="23" t="e">
        <f ca="1">[1]!s2m(E57)</f>
        <v>#NAME?</v>
      </c>
      <c r="H57" s="22" t="e">
        <f ca="1">[1]!s2m(F57)</f>
        <v>#NAME?</v>
      </c>
      <c r="I57" s="40" t="e">
        <f t="shared" ca="1" si="6"/>
        <v>#NAME?</v>
      </c>
      <c r="K57" s="26"/>
      <c r="L57" s="26"/>
      <c r="M57" s="26"/>
      <c r="N57" s="26"/>
      <c r="O57" s="26"/>
      <c r="P57" s="26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s="25" customFormat="1" x14ac:dyDescent="0.45">
      <c r="A58" s="18"/>
      <c r="B58" s="19"/>
      <c r="C58" s="20"/>
      <c r="D58" s="20"/>
      <c r="E58" s="22" t="s">
        <v>940</v>
      </c>
      <c r="F58" s="22" t="s">
        <v>948</v>
      </c>
      <c r="G58" s="23" t="e">
        <f ca="1">[1]!s2m(E58)</f>
        <v>#NAME?</v>
      </c>
      <c r="H58" s="22" t="e">
        <f ca="1">[1]!s2m(F58)</f>
        <v>#NAME?</v>
      </c>
      <c r="I58" s="40" t="e">
        <f t="shared" ca="1" si="6"/>
        <v>#NAME?</v>
      </c>
      <c r="K58" s="26"/>
      <c r="L58" s="26"/>
      <c r="M58" s="26"/>
      <c r="N58" s="26"/>
      <c r="O58" s="26"/>
      <c r="P58" s="26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s="25" customFormat="1" x14ac:dyDescent="0.45">
      <c r="A59" s="18"/>
      <c r="B59" s="19"/>
      <c r="C59" s="20"/>
      <c r="D59" s="20"/>
      <c r="E59" s="22" t="s">
        <v>941</v>
      </c>
      <c r="F59" s="22" t="s">
        <v>949</v>
      </c>
      <c r="G59" s="23" t="e">
        <f ca="1">[1]!s2m(E59)</f>
        <v>#NAME?</v>
      </c>
      <c r="H59" s="22" t="e">
        <f ca="1">[1]!s2m(F59)</f>
        <v>#NAME?</v>
      </c>
      <c r="I59" s="40" t="e">
        <f t="shared" ca="1" si="6"/>
        <v>#NAME?</v>
      </c>
      <c r="K59" s="26"/>
      <c r="L59" s="26"/>
      <c r="M59" s="26"/>
      <c r="N59" s="26"/>
      <c r="O59" s="26"/>
      <c r="P59" s="26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s="25" customFormat="1" x14ac:dyDescent="0.45">
      <c r="A60" s="18"/>
      <c r="B60" s="19"/>
      <c r="C60" s="20"/>
      <c r="D60" s="20"/>
      <c r="E60" s="22" t="s">
        <v>942</v>
      </c>
      <c r="F60" s="22" t="s">
        <v>950</v>
      </c>
      <c r="G60" s="23" t="e">
        <f ca="1">[1]!s2m(E60)</f>
        <v>#NAME?</v>
      </c>
      <c r="H60" s="22" t="e">
        <f ca="1">[1]!s2m(F60)</f>
        <v>#NAME?</v>
      </c>
      <c r="I60" s="40" t="e">
        <f t="shared" ca="1" si="6"/>
        <v>#NAME?</v>
      </c>
      <c r="K60" s="26"/>
      <c r="L60" s="26"/>
      <c r="M60" s="26"/>
      <c r="N60" s="26"/>
      <c r="O60" s="26"/>
      <c r="P60" s="26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s="25" customFormat="1" x14ac:dyDescent="0.45">
      <c r="A61" s="18"/>
      <c r="B61" s="19"/>
      <c r="C61" s="20"/>
      <c r="D61" s="20"/>
      <c r="E61" s="22" t="s">
        <v>938</v>
      </c>
      <c r="F61" s="22" t="s">
        <v>946</v>
      </c>
      <c r="G61" s="23" t="e">
        <f ca="1">[1]!s2m(E61)</f>
        <v>#NAME?</v>
      </c>
      <c r="H61" s="22" t="e">
        <f ca="1">[1]!s2m(F61)</f>
        <v>#NAME?</v>
      </c>
      <c r="I61" s="40" t="e">
        <f t="shared" ca="1" si="6"/>
        <v>#NAME?</v>
      </c>
      <c r="K61" s="26"/>
      <c r="L61" s="26"/>
      <c r="M61" s="26"/>
      <c r="N61" s="26"/>
      <c r="O61" s="26"/>
      <c r="P61" s="26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s="25" customFormat="1" x14ac:dyDescent="0.45">
      <c r="A62" s="18"/>
      <c r="B62" s="19"/>
      <c r="C62" s="20"/>
      <c r="D62" s="20"/>
      <c r="E62" s="22" t="s">
        <v>942</v>
      </c>
      <c r="F62" s="22" t="s">
        <v>950</v>
      </c>
      <c r="G62" s="23" t="e">
        <f ca="1">[1]!s2m(E62)</f>
        <v>#NAME?</v>
      </c>
      <c r="H62" s="22" t="e">
        <f ca="1">[1]!s2m(F62)</f>
        <v>#NAME?</v>
      </c>
      <c r="I62" s="40" t="e">
        <f t="shared" ca="1" si="6"/>
        <v>#NAME?</v>
      </c>
      <c r="K62" s="26"/>
      <c r="L62" s="26"/>
      <c r="M62" s="26"/>
      <c r="N62" s="26"/>
      <c r="O62" s="26"/>
      <c r="P62" s="26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</sheetData>
  <mergeCells count="49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</mergeCells>
  <conditionalFormatting sqref="B13:B25">
    <cfRule type="cellIs" dxfId="17" priority="3" operator="equal">
      <formula>"Delete"</formula>
    </cfRule>
    <cfRule type="cellIs" dxfId="16" priority="8" operator="equal">
      <formula>"On time"</formula>
    </cfRule>
    <cfRule type="cellIs" dxfId="15" priority="9" operator="equal">
      <formula>"Delay"</formula>
    </cfRule>
    <cfRule type="cellIs" dxfId="14" priority="11" operator="equal">
      <formula>"Inprogress"</formula>
    </cfRule>
    <cfRule type="cellIs" dxfId="13" priority="12" operator="equal">
      <formula>"Ahead of schedule"</formula>
    </cfRule>
  </conditionalFormatting>
  <conditionalFormatting sqref="B6:D6">
    <cfRule type="cellIs" dxfId="12" priority="10" operator="equal">
      <formula>"Delay"</formula>
    </cfRule>
  </conditionalFormatting>
  <conditionalFormatting sqref="I13:R25">
    <cfRule type="cellIs" dxfId="11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{4A36681B-DBCB-4C94-9414-798BC20706B2}</x14:id>
        </ext>
      </extLst>
    </cfRule>
  </conditionalFormatting>
  <conditionalFormatting sqref="Q13:R25">
    <cfRule type="cellIs" dxfId="10" priority="5" operator="between">
      <formula>0.01</formula>
      <formula>0.99</formula>
    </cfRule>
    <cfRule type="cellIs" dxfId="9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6681B-DBCB-4C94-9414-798BC20706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I267"/>
  <sheetViews>
    <sheetView workbookViewId="0">
      <selection activeCell="B1" sqref="B1"/>
    </sheetView>
  </sheetViews>
  <sheetFormatPr defaultRowHeight="14.25" x14ac:dyDescent="0.45"/>
  <cols>
    <col min="1" max="1" width="32.3984375" bestFit="1" customWidth="1"/>
    <col min="2" max="2" width="59.73046875" style="4" bestFit="1" customWidth="1"/>
    <col min="3" max="3" width="12.59765625" bestFit="1" customWidth="1"/>
    <col min="4" max="4" width="18.59765625" bestFit="1" customWidth="1"/>
    <col min="5" max="5" width="22.3984375" bestFit="1" customWidth="1"/>
    <col min="6" max="6" width="16.73046875" bestFit="1" customWidth="1"/>
    <col min="7" max="7" width="17.86328125" bestFit="1" customWidth="1"/>
    <col min="8" max="9" width="10.73046875" style="4" bestFit="1" customWidth="1"/>
  </cols>
  <sheetData>
    <row r="1" spans="1:9" x14ac:dyDescent="0.45">
      <c r="A1" t="s">
        <v>175</v>
      </c>
      <c r="B1" s="4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s="4" t="s">
        <v>182</v>
      </c>
      <c r="I1" s="4" t="s">
        <v>183</v>
      </c>
    </row>
    <row r="2" spans="1:9" x14ac:dyDescent="0.45">
      <c r="A2" t="s">
        <v>184</v>
      </c>
      <c r="C2" t="s">
        <v>185</v>
      </c>
      <c r="D2" t="s">
        <v>186</v>
      </c>
      <c r="E2">
        <v>100</v>
      </c>
      <c r="F2" t="s">
        <v>187</v>
      </c>
      <c r="G2" t="s">
        <v>188</v>
      </c>
    </row>
    <row r="3" spans="1:9" x14ac:dyDescent="0.45">
      <c r="A3" t="s">
        <v>189</v>
      </c>
      <c r="C3" t="s">
        <v>190</v>
      </c>
      <c r="D3" t="s">
        <v>191</v>
      </c>
      <c r="E3">
        <v>2.11</v>
      </c>
      <c r="F3" t="s">
        <v>187</v>
      </c>
      <c r="G3" t="s">
        <v>192</v>
      </c>
    </row>
    <row r="4" spans="1:9" x14ac:dyDescent="0.45">
      <c r="A4" t="s">
        <v>193</v>
      </c>
      <c r="B4" s="4" t="s">
        <v>194</v>
      </c>
      <c r="C4" t="s">
        <v>185</v>
      </c>
      <c r="D4" t="s">
        <v>195</v>
      </c>
      <c r="E4">
        <v>0.28000000000000003</v>
      </c>
      <c r="F4" t="s">
        <v>187</v>
      </c>
      <c r="G4" t="s">
        <v>196</v>
      </c>
      <c r="H4" s="4" t="s">
        <v>197</v>
      </c>
      <c r="I4" s="4" t="s">
        <v>198</v>
      </c>
    </row>
    <row r="5" spans="1:9" x14ac:dyDescent="0.45">
      <c r="A5" t="s">
        <v>199</v>
      </c>
      <c r="B5" s="4" t="s">
        <v>200</v>
      </c>
      <c r="C5" t="s">
        <v>185</v>
      </c>
      <c r="D5" t="s">
        <v>190</v>
      </c>
      <c r="E5">
        <v>0.7</v>
      </c>
      <c r="F5" t="s">
        <v>201</v>
      </c>
      <c r="G5" t="s">
        <v>202</v>
      </c>
      <c r="H5" s="4" t="s">
        <v>203</v>
      </c>
      <c r="I5" s="4" t="s">
        <v>167</v>
      </c>
    </row>
    <row r="6" spans="1:9" x14ac:dyDescent="0.45">
      <c r="A6" t="s">
        <v>204</v>
      </c>
      <c r="B6" s="4" t="s">
        <v>205</v>
      </c>
      <c r="C6" t="s">
        <v>185</v>
      </c>
      <c r="D6" t="s">
        <v>206</v>
      </c>
      <c r="E6">
        <v>0.35</v>
      </c>
      <c r="F6" t="s">
        <v>201</v>
      </c>
      <c r="G6" t="s">
        <v>207</v>
      </c>
      <c r="H6" s="4" t="s">
        <v>203</v>
      </c>
      <c r="I6" s="4" t="s">
        <v>168</v>
      </c>
    </row>
    <row r="7" spans="1:9" x14ac:dyDescent="0.45">
      <c r="A7" t="s">
        <v>208</v>
      </c>
      <c r="B7" s="4" t="s">
        <v>209</v>
      </c>
      <c r="C7" t="s">
        <v>185</v>
      </c>
      <c r="D7" t="s">
        <v>210</v>
      </c>
      <c r="E7">
        <v>0.35</v>
      </c>
      <c r="F7" t="s">
        <v>211</v>
      </c>
      <c r="G7" t="s">
        <v>211</v>
      </c>
      <c r="H7" s="4" t="s">
        <v>164</v>
      </c>
      <c r="I7" s="4" t="s">
        <v>164</v>
      </c>
    </row>
    <row r="8" spans="1:9" x14ac:dyDescent="0.45">
      <c r="A8" t="s">
        <v>212</v>
      </c>
      <c r="B8" s="4" t="s">
        <v>213</v>
      </c>
      <c r="C8" t="s">
        <v>185</v>
      </c>
      <c r="D8" t="s">
        <v>210</v>
      </c>
      <c r="E8">
        <v>0.14000000000000001</v>
      </c>
      <c r="F8" t="s">
        <v>214</v>
      </c>
      <c r="G8" t="s">
        <v>214</v>
      </c>
      <c r="H8" s="4" t="s">
        <v>215</v>
      </c>
      <c r="I8" s="4" t="s">
        <v>215</v>
      </c>
    </row>
    <row r="9" spans="1:9" x14ac:dyDescent="0.45">
      <c r="A9" t="s">
        <v>216</v>
      </c>
      <c r="B9" s="4" t="s">
        <v>217</v>
      </c>
      <c r="C9" t="s">
        <v>190</v>
      </c>
      <c r="D9" t="s">
        <v>210</v>
      </c>
      <c r="E9">
        <v>0.28000000000000003</v>
      </c>
      <c r="F9" t="s">
        <v>192</v>
      </c>
      <c r="G9" t="s">
        <v>192</v>
      </c>
      <c r="H9" s="4" t="s">
        <v>218</v>
      </c>
      <c r="I9" s="4" t="s">
        <v>218</v>
      </c>
    </row>
    <row r="10" spans="1:9" x14ac:dyDescent="0.45">
      <c r="A10" t="s">
        <v>219</v>
      </c>
      <c r="C10" t="s">
        <v>220</v>
      </c>
      <c r="D10" t="s">
        <v>221</v>
      </c>
      <c r="E10">
        <v>15.77</v>
      </c>
      <c r="F10" t="s">
        <v>222</v>
      </c>
      <c r="G10" t="s">
        <v>223</v>
      </c>
    </row>
    <row r="11" spans="1:9" x14ac:dyDescent="0.45">
      <c r="A11">
        <v>7411</v>
      </c>
      <c r="B11" s="4" t="s">
        <v>224</v>
      </c>
      <c r="C11" t="s">
        <v>225</v>
      </c>
      <c r="D11" t="s">
        <v>190</v>
      </c>
      <c r="E11">
        <v>0.56000000000000005</v>
      </c>
      <c r="F11" t="s">
        <v>226</v>
      </c>
      <c r="G11" t="s">
        <v>227</v>
      </c>
      <c r="H11" s="4" t="s">
        <v>166</v>
      </c>
      <c r="I11" s="4" t="s">
        <v>228</v>
      </c>
    </row>
    <row r="12" spans="1:9" x14ac:dyDescent="0.45">
      <c r="A12" t="s">
        <v>229</v>
      </c>
      <c r="B12" s="4" t="s">
        <v>230</v>
      </c>
      <c r="C12" t="s">
        <v>185</v>
      </c>
      <c r="D12" t="s">
        <v>210</v>
      </c>
      <c r="E12">
        <v>0.35</v>
      </c>
      <c r="F12" t="s">
        <v>222</v>
      </c>
      <c r="G12" t="s">
        <v>222</v>
      </c>
      <c r="H12" s="4" t="s">
        <v>231</v>
      </c>
      <c r="I12" s="4" t="s">
        <v>231</v>
      </c>
    </row>
    <row r="13" spans="1:9" x14ac:dyDescent="0.45">
      <c r="A13" t="s">
        <v>232</v>
      </c>
      <c r="B13" s="4" t="s">
        <v>233</v>
      </c>
      <c r="C13" t="s">
        <v>185</v>
      </c>
      <c r="D13" t="s">
        <v>234</v>
      </c>
      <c r="E13">
        <v>0.56000000000000005</v>
      </c>
      <c r="F13" t="s">
        <v>235</v>
      </c>
      <c r="G13" t="s">
        <v>236</v>
      </c>
      <c r="H13" s="4" t="s">
        <v>163</v>
      </c>
      <c r="I13" s="4" t="s">
        <v>237</v>
      </c>
    </row>
    <row r="14" spans="1:9" x14ac:dyDescent="0.45">
      <c r="A14" t="s">
        <v>238</v>
      </c>
      <c r="B14" s="4" t="s">
        <v>239</v>
      </c>
      <c r="C14" t="s">
        <v>185</v>
      </c>
      <c r="D14" t="s">
        <v>220</v>
      </c>
      <c r="E14">
        <v>0.7</v>
      </c>
      <c r="F14" t="s">
        <v>240</v>
      </c>
      <c r="G14" t="s">
        <v>241</v>
      </c>
      <c r="H14" s="4" t="s">
        <v>242</v>
      </c>
      <c r="I14" s="4" t="s">
        <v>243</v>
      </c>
    </row>
    <row r="15" spans="1:9" x14ac:dyDescent="0.45">
      <c r="A15" t="s">
        <v>244</v>
      </c>
      <c r="B15" s="4" t="s">
        <v>245</v>
      </c>
      <c r="C15" t="s">
        <v>185</v>
      </c>
      <c r="D15" t="s">
        <v>210</v>
      </c>
      <c r="E15">
        <v>0.42</v>
      </c>
      <c r="F15" t="s">
        <v>246</v>
      </c>
      <c r="G15" t="s">
        <v>246</v>
      </c>
      <c r="H15" s="4" t="s">
        <v>247</v>
      </c>
      <c r="I15" s="4" t="s">
        <v>247</v>
      </c>
    </row>
    <row r="16" spans="1:9" x14ac:dyDescent="0.45">
      <c r="A16" t="s">
        <v>248</v>
      </c>
      <c r="B16" s="4" t="s">
        <v>249</v>
      </c>
      <c r="C16" t="s">
        <v>185</v>
      </c>
      <c r="D16" t="s">
        <v>210</v>
      </c>
      <c r="E16">
        <v>0.21</v>
      </c>
      <c r="F16" t="s">
        <v>250</v>
      </c>
      <c r="G16" t="s">
        <v>250</v>
      </c>
      <c r="H16" s="4" t="s">
        <v>251</v>
      </c>
      <c r="I16" s="4" t="s">
        <v>251</v>
      </c>
    </row>
    <row r="17" spans="1:9" x14ac:dyDescent="0.45">
      <c r="A17" t="s">
        <v>252</v>
      </c>
      <c r="B17" s="4" t="s">
        <v>253</v>
      </c>
      <c r="C17" t="s">
        <v>185</v>
      </c>
      <c r="D17" t="s">
        <v>254</v>
      </c>
      <c r="E17">
        <v>0.7</v>
      </c>
      <c r="F17" t="s">
        <v>255</v>
      </c>
      <c r="G17" t="s">
        <v>256</v>
      </c>
      <c r="H17" s="4" t="s">
        <v>257</v>
      </c>
      <c r="I17" s="4" t="s">
        <v>258</v>
      </c>
    </row>
    <row r="18" spans="1:9" x14ac:dyDescent="0.45">
      <c r="A18" t="s">
        <v>259</v>
      </c>
      <c r="B18" s="4" t="s">
        <v>260</v>
      </c>
      <c r="C18" t="s">
        <v>261</v>
      </c>
      <c r="D18" t="s">
        <v>261</v>
      </c>
      <c r="E18">
        <v>0.21</v>
      </c>
      <c r="F18" t="s">
        <v>262</v>
      </c>
      <c r="G18" t="s">
        <v>263</v>
      </c>
      <c r="H18" s="4" t="s">
        <v>264</v>
      </c>
      <c r="I18" s="4" t="s">
        <v>265</v>
      </c>
    </row>
    <row r="19" spans="1:9" x14ac:dyDescent="0.45">
      <c r="A19" t="s">
        <v>266</v>
      </c>
      <c r="B19" s="4" t="s">
        <v>267</v>
      </c>
      <c r="C19" t="s">
        <v>261</v>
      </c>
      <c r="D19" t="s">
        <v>268</v>
      </c>
      <c r="E19">
        <v>0.7</v>
      </c>
      <c r="F19" t="s">
        <v>269</v>
      </c>
      <c r="G19" t="s">
        <v>270</v>
      </c>
      <c r="H19" s="4" t="s">
        <v>271</v>
      </c>
      <c r="I19" s="4" t="s">
        <v>272</v>
      </c>
    </row>
    <row r="20" spans="1:9" x14ac:dyDescent="0.45">
      <c r="A20" t="s">
        <v>273</v>
      </c>
      <c r="B20" s="4" t="s">
        <v>274</v>
      </c>
      <c r="C20" t="s">
        <v>261</v>
      </c>
      <c r="D20" t="s">
        <v>254</v>
      </c>
      <c r="E20">
        <v>0.7</v>
      </c>
      <c r="F20" t="s">
        <v>275</v>
      </c>
      <c r="G20" t="s">
        <v>223</v>
      </c>
      <c r="H20" s="4" t="s">
        <v>276</v>
      </c>
      <c r="I20" s="4" t="s">
        <v>277</v>
      </c>
    </row>
    <row r="21" spans="1:9" x14ac:dyDescent="0.45">
      <c r="A21" t="s">
        <v>278</v>
      </c>
      <c r="C21" t="s">
        <v>279</v>
      </c>
      <c r="D21" t="s">
        <v>280</v>
      </c>
      <c r="E21">
        <v>5.77</v>
      </c>
      <c r="F21" t="s">
        <v>281</v>
      </c>
      <c r="G21" t="s">
        <v>282</v>
      </c>
    </row>
    <row r="22" spans="1:9" x14ac:dyDescent="0.45">
      <c r="A22" t="s">
        <v>283</v>
      </c>
      <c r="B22" s="4" t="s">
        <v>284</v>
      </c>
      <c r="C22" t="s">
        <v>185</v>
      </c>
      <c r="D22" t="s">
        <v>190</v>
      </c>
      <c r="E22">
        <v>0.7</v>
      </c>
      <c r="F22" t="s">
        <v>281</v>
      </c>
      <c r="G22" t="s">
        <v>285</v>
      </c>
      <c r="H22" s="4" t="s">
        <v>286</v>
      </c>
      <c r="I22" s="4" t="s">
        <v>169</v>
      </c>
    </row>
    <row r="23" spans="1:9" x14ac:dyDescent="0.45">
      <c r="A23" t="s">
        <v>287</v>
      </c>
      <c r="B23" s="4" t="s">
        <v>288</v>
      </c>
      <c r="C23" t="s">
        <v>185</v>
      </c>
      <c r="D23" t="s">
        <v>190</v>
      </c>
      <c r="E23">
        <v>0.63</v>
      </c>
      <c r="F23" t="s">
        <v>289</v>
      </c>
      <c r="G23" t="s">
        <v>290</v>
      </c>
      <c r="H23" s="4" t="s">
        <v>165</v>
      </c>
      <c r="I23" s="4" t="s">
        <v>291</v>
      </c>
    </row>
    <row r="24" spans="1:9" x14ac:dyDescent="0.45">
      <c r="A24" t="s">
        <v>292</v>
      </c>
      <c r="B24" s="4" t="s">
        <v>293</v>
      </c>
      <c r="C24" t="s">
        <v>185</v>
      </c>
      <c r="D24" t="s">
        <v>294</v>
      </c>
      <c r="E24">
        <v>0.63</v>
      </c>
      <c r="F24" t="s">
        <v>295</v>
      </c>
      <c r="G24" t="s">
        <v>296</v>
      </c>
      <c r="H24" s="4" t="s">
        <v>297</v>
      </c>
      <c r="I24" s="4" t="s">
        <v>298</v>
      </c>
    </row>
    <row r="25" spans="1:9" x14ac:dyDescent="0.45">
      <c r="A25" t="s">
        <v>299</v>
      </c>
      <c r="B25" s="4" t="s">
        <v>300</v>
      </c>
      <c r="C25" t="s">
        <v>195</v>
      </c>
      <c r="D25" t="s">
        <v>301</v>
      </c>
      <c r="E25">
        <v>0.63</v>
      </c>
      <c r="F25" t="s">
        <v>302</v>
      </c>
      <c r="G25" t="s">
        <v>303</v>
      </c>
      <c r="H25" s="4" t="s">
        <v>304</v>
      </c>
      <c r="I25" s="4" t="s">
        <v>305</v>
      </c>
    </row>
    <row r="26" spans="1:9" x14ac:dyDescent="0.45">
      <c r="A26" t="s">
        <v>306</v>
      </c>
      <c r="B26" s="4" t="s">
        <v>307</v>
      </c>
      <c r="C26" t="s">
        <v>195</v>
      </c>
      <c r="D26" t="s">
        <v>301</v>
      </c>
      <c r="E26">
        <v>0.63</v>
      </c>
      <c r="F26" t="s">
        <v>302</v>
      </c>
      <c r="G26" t="s">
        <v>303</v>
      </c>
      <c r="H26" s="4" t="s">
        <v>304</v>
      </c>
      <c r="I26" s="4" t="s">
        <v>305</v>
      </c>
    </row>
    <row r="27" spans="1:9" x14ac:dyDescent="0.45">
      <c r="A27" t="s">
        <v>308</v>
      </c>
      <c r="B27" s="4" t="s">
        <v>309</v>
      </c>
      <c r="C27" t="s">
        <v>310</v>
      </c>
      <c r="D27" t="s">
        <v>310</v>
      </c>
      <c r="E27">
        <v>0.63</v>
      </c>
      <c r="F27" t="s">
        <v>311</v>
      </c>
      <c r="G27" t="s">
        <v>312</v>
      </c>
      <c r="H27" s="4" t="s">
        <v>313</v>
      </c>
      <c r="I27" s="4" t="s">
        <v>314</v>
      </c>
    </row>
    <row r="28" spans="1:9" x14ac:dyDescent="0.45">
      <c r="A28" t="s">
        <v>315</v>
      </c>
      <c r="B28" s="4" t="s">
        <v>316</v>
      </c>
      <c r="C28" t="s">
        <v>190</v>
      </c>
      <c r="D28" t="s">
        <v>220</v>
      </c>
      <c r="E28">
        <v>0.63</v>
      </c>
      <c r="F28" t="s">
        <v>311</v>
      </c>
      <c r="G28" t="s">
        <v>250</v>
      </c>
      <c r="H28" s="4" t="s">
        <v>313</v>
      </c>
      <c r="I28" s="4" t="s">
        <v>251</v>
      </c>
    </row>
    <row r="29" spans="1:9" x14ac:dyDescent="0.45">
      <c r="A29" t="s">
        <v>317</v>
      </c>
      <c r="B29" s="4" t="s">
        <v>318</v>
      </c>
      <c r="C29" t="s">
        <v>190</v>
      </c>
      <c r="D29" t="s">
        <v>220</v>
      </c>
      <c r="E29">
        <v>0.63</v>
      </c>
      <c r="F29" t="s">
        <v>311</v>
      </c>
      <c r="G29" t="s">
        <v>250</v>
      </c>
      <c r="H29" s="4" t="s">
        <v>313</v>
      </c>
      <c r="I29" s="4" t="s">
        <v>251</v>
      </c>
    </row>
    <row r="30" spans="1:9" x14ac:dyDescent="0.45">
      <c r="A30" t="s">
        <v>319</v>
      </c>
      <c r="B30" s="4" t="s">
        <v>320</v>
      </c>
      <c r="C30" t="s">
        <v>279</v>
      </c>
      <c r="D30" t="s">
        <v>321</v>
      </c>
      <c r="E30">
        <v>0.63</v>
      </c>
      <c r="F30" t="s">
        <v>311</v>
      </c>
      <c r="G30" t="s">
        <v>282</v>
      </c>
      <c r="H30" s="4" t="s">
        <v>313</v>
      </c>
      <c r="I30" s="4" t="s">
        <v>322</v>
      </c>
    </row>
    <row r="31" spans="1:9" x14ac:dyDescent="0.45">
      <c r="A31" t="s">
        <v>323</v>
      </c>
      <c r="C31" t="s">
        <v>220</v>
      </c>
      <c r="D31" t="s">
        <v>324</v>
      </c>
      <c r="E31">
        <v>2.3199999999999998</v>
      </c>
      <c r="F31" t="s">
        <v>325</v>
      </c>
      <c r="G31" t="s">
        <v>326</v>
      </c>
    </row>
    <row r="32" spans="1:9" x14ac:dyDescent="0.45">
      <c r="A32" t="s">
        <v>327</v>
      </c>
      <c r="B32" s="4" t="s">
        <v>328</v>
      </c>
      <c r="C32" t="s">
        <v>190</v>
      </c>
      <c r="D32" t="s">
        <v>210</v>
      </c>
      <c r="E32">
        <v>0.21</v>
      </c>
      <c r="F32" t="s">
        <v>255</v>
      </c>
      <c r="G32" t="s">
        <v>255</v>
      </c>
      <c r="H32" s="4" t="s">
        <v>257</v>
      </c>
      <c r="I32" s="4" t="s">
        <v>257</v>
      </c>
    </row>
    <row r="33" spans="1:9" x14ac:dyDescent="0.45">
      <c r="A33" t="s">
        <v>329</v>
      </c>
      <c r="B33" s="4" t="s">
        <v>330</v>
      </c>
      <c r="C33" t="s">
        <v>220</v>
      </c>
      <c r="D33" t="s">
        <v>331</v>
      </c>
      <c r="E33">
        <v>0.21</v>
      </c>
      <c r="F33" t="s">
        <v>332</v>
      </c>
      <c r="G33" t="s">
        <v>326</v>
      </c>
      <c r="H33" s="4" t="s">
        <v>333</v>
      </c>
      <c r="I33" s="4" t="s">
        <v>334</v>
      </c>
    </row>
    <row r="34" spans="1:9" x14ac:dyDescent="0.45">
      <c r="A34" t="s">
        <v>335</v>
      </c>
      <c r="B34" s="4" t="s">
        <v>336</v>
      </c>
      <c r="C34" t="s">
        <v>190</v>
      </c>
      <c r="D34" t="s">
        <v>331</v>
      </c>
      <c r="E34">
        <v>0.21</v>
      </c>
      <c r="F34" t="s">
        <v>332</v>
      </c>
      <c r="G34" t="s">
        <v>326</v>
      </c>
      <c r="H34" s="4" t="s">
        <v>333</v>
      </c>
      <c r="I34" s="4" t="s">
        <v>334</v>
      </c>
    </row>
    <row r="35" spans="1:9" x14ac:dyDescent="0.45">
      <c r="A35" t="s">
        <v>337</v>
      </c>
      <c r="B35" s="4" t="s">
        <v>338</v>
      </c>
      <c r="C35" t="s">
        <v>190</v>
      </c>
      <c r="D35" t="s">
        <v>331</v>
      </c>
      <c r="E35">
        <v>0.21</v>
      </c>
      <c r="F35" t="s">
        <v>332</v>
      </c>
      <c r="G35" t="s">
        <v>326</v>
      </c>
      <c r="H35" s="4" t="s">
        <v>333</v>
      </c>
      <c r="I35" s="4" t="s">
        <v>334</v>
      </c>
    </row>
    <row r="36" spans="1:9" x14ac:dyDescent="0.45">
      <c r="A36" t="s">
        <v>339</v>
      </c>
      <c r="B36" s="4" t="s">
        <v>340</v>
      </c>
      <c r="C36" t="s">
        <v>220</v>
      </c>
      <c r="D36" t="s">
        <v>331</v>
      </c>
      <c r="E36">
        <v>0.21</v>
      </c>
      <c r="F36" t="s">
        <v>332</v>
      </c>
      <c r="G36" t="s">
        <v>326</v>
      </c>
      <c r="H36" s="4" t="s">
        <v>333</v>
      </c>
      <c r="I36" s="4" t="s">
        <v>334</v>
      </c>
    </row>
    <row r="37" spans="1:9" x14ac:dyDescent="0.45">
      <c r="A37" t="s">
        <v>341</v>
      </c>
      <c r="B37" s="4" t="s">
        <v>342</v>
      </c>
      <c r="C37" t="s">
        <v>190</v>
      </c>
      <c r="D37" t="s">
        <v>331</v>
      </c>
      <c r="E37">
        <v>0.21</v>
      </c>
      <c r="F37" t="s">
        <v>332</v>
      </c>
      <c r="G37" t="s">
        <v>326</v>
      </c>
      <c r="H37" s="4" t="s">
        <v>333</v>
      </c>
      <c r="I37" s="4" t="s">
        <v>334</v>
      </c>
    </row>
    <row r="38" spans="1:9" x14ac:dyDescent="0.45">
      <c r="A38" t="s">
        <v>343</v>
      </c>
      <c r="B38" s="4" t="s">
        <v>344</v>
      </c>
      <c r="C38" t="s">
        <v>185</v>
      </c>
      <c r="D38" t="s">
        <v>301</v>
      </c>
      <c r="E38">
        <v>0.21</v>
      </c>
      <c r="F38" t="s">
        <v>325</v>
      </c>
      <c r="G38" t="s">
        <v>345</v>
      </c>
      <c r="H38" s="4" t="s">
        <v>170</v>
      </c>
      <c r="I38" s="4" t="s">
        <v>346</v>
      </c>
    </row>
    <row r="39" spans="1:9" x14ac:dyDescent="0.45">
      <c r="A39" t="s">
        <v>347</v>
      </c>
      <c r="B39" s="4" t="s">
        <v>348</v>
      </c>
      <c r="C39" t="s">
        <v>220</v>
      </c>
      <c r="D39" t="s">
        <v>331</v>
      </c>
      <c r="E39">
        <v>0.21</v>
      </c>
      <c r="F39" t="s">
        <v>332</v>
      </c>
      <c r="G39" t="s">
        <v>326</v>
      </c>
      <c r="H39" s="4" t="s">
        <v>333</v>
      </c>
      <c r="I39" s="4" t="s">
        <v>334</v>
      </c>
    </row>
    <row r="40" spans="1:9" x14ac:dyDescent="0.45">
      <c r="A40" t="s">
        <v>349</v>
      </c>
      <c r="B40" s="4" t="s">
        <v>350</v>
      </c>
      <c r="C40" t="s">
        <v>220</v>
      </c>
      <c r="D40" t="s">
        <v>331</v>
      </c>
      <c r="E40">
        <v>0.21</v>
      </c>
      <c r="F40" t="s">
        <v>332</v>
      </c>
      <c r="G40" t="s">
        <v>326</v>
      </c>
      <c r="H40" s="4" t="s">
        <v>333</v>
      </c>
      <c r="I40" s="4" t="s">
        <v>334</v>
      </c>
    </row>
    <row r="41" spans="1:9" x14ac:dyDescent="0.45">
      <c r="A41" t="s">
        <v>351</v>
      </c>
      <c r="B41" s="4" t="s">
        <v>352</v>
      </c>
      <c r="C41" t="s">
        <v>353</v>
      </c>
      <c r="D41" t="s">
        <v>190</v>
      </c>
      <c r="E41">
        <v>0.21</v>
      </c>
      <c r="F41" t="s">
        <v>332</v>
      </c>
      <c r="G41" t="s">
        <v>354</v>
      </c>
      <c r="H41" s="4" t="s">
        <v>333</v>
      </c>
      <c r="I41" s="4" t="s">
        <v>355</v>
      </c>
    </row>
    <row r="42" spans="1:9" x14ac:dyDescent="0.45">
      <c r="A42" t="s">
        <v>356</v>
      </c>
      <c r="B42" s="4" t="s">
        <v>357</v>
      </c>
      <c r="C42" t="s">
        <v>220</v>
      </c>
      <c r="D42" t="s">
        <v>331</v>
      </c>
      <c r="E42">
        <v>0.21</v>
      </c>
      <c r="F42" t="s">
        <v>332</v>
      </c>
      <c r="G42" t="s">
        <v>326</v>
      </c>
      <c r="H42" s="4" t="s">
        <v>333</v>
      </c>
      <c r="I42" s="4" t="s">
        <v>334</v>
      </c>
    </row>
    <row r="43" spans="1:9" x14ac:dyDescent="0.45">
      <c r="A43" t="s">
        <v>358</v>
      </c>
      <c r="C43" t="s">
        <v>359</v>
      </c>
      <c r="D43" t="s">
        <v>360</v>
      </c>
      <c r="E43">
        <v>2.54</v>
      </c>
      <c r="F43" t="s">
        <v>312</v>
      </c>
      <c r="G43" t="s">
        <v>361</v>
      </c>
    </row>
    <row r="44" spans="1:9" x14ac:dyDescent="0.45">
      <c r="A44" t="s">
        <v>362</v>
      </c>
      <c r="B44" s="4" t="s">
        <v>363</v>
      </c>
      <c r="C44" t="s">
        <v>185</v>
      </c>
      <c r="D44" t="s">
        <v>254</v>
      </c>
      <c r="E44">
        <v>0.42</v>
      </c>
      <c r="F44" t="s">
        <v>312</v>
      </c>
      <c r="G44" t="s">
        <v>364</v>
      </c>
      <c r="H44" s="4" t="s">
        <v>314</v>
      </c>
      <c r="I44" s="4" t="s">
        <v>365</v>
      </c>
    </row>
    <row r="45" spans="1:9" x14ac:dyDescent="0.45">
      <c r="A45" t="s">
        <v>366</v>
      </c>
      <c r="B45" s="4" t="s">
        <v>367</v>
      </c>
      <c r="C45" t="s">
        <v>353</v>
      </c>
      <c r="D45" t="s">
        <v>220</v>
      </c>
      <c r="E45">
        <v>0.42</v>
      </c>
      <c r="F45" t="s">
        <v>263</v>
      </c>
      <c r="G45" t="s">
        <v>368</v>
      </c>
      <c r="H45" s="4" t="s">
        <v>265</v>
      </c>
      <c r="I45" s="4" t="s">
        <v>369</v>
      </c>
    </row>
    <row r="46" spans="1:9" x14ac:dyDescent="0.45">
      <c r="A46" t="s">
        <v>370</v>
      </c>
      <c r="B46" s="4" t="s">
        <v>371</v>
      </c>
      <c r="C46" t="s">
        <v>190</v>
      </c>
      <c r="D46" t="s">
        <v>254</v>
      </c>
      <c r="E46">
        <v>0.42</v>
      </c>
      <c r="F46" t="s">
        <v>372</v>
      </c>
      <c r="G46" t="s">
        <v>361</v>
      </c>
      <c r="H46" s="4" t="s">
        <v>373</v>
      </c>
      <c r="I46" s="4" t="s">
        <v>374</v>
      </c>
    </row>
    <row r="47" spans="1:9" x14ac:dyDescent="0.45">
      <c r="A47" t="s">
        <v>375</v>
      </c>
      <c r="B47" s="4" t="s">
        <v>376</v>
      </c>
      <c r="C47" t="s">
        <v>190</v>
      </c>
      <c r="D47" t="s">
        <v>254</v>
      </c>
      <c r="E47">
        <v>0.42</v>
      </c>
      <c r="F47" t="s">
        <v>372</v>
      </c>
      <c r="G47" t="s">
        <v>361</v>
      </c>
      <c r="H47" s="4" t="s">
        <v>373</v>
      </c>
      <c r="I47" s="4" t="s">
        <v>374</v>
      </c>
    </row>
    <row r="48" spans="1:9" x14ac:dyDescent="0.45">
      <c r="A48" t="s">
        <v>377</v>
      </c>
      <c r="B48" s="4" t="s">
        <v>378</v>
      </c>
      <c r="C48" t="s">
        <v>190</v>
      </c>
      <c r="D48" t="s">
        <v>254</v>
      </c>
      <c r="E48">
        <v>0.42</v>
      </c>
      <c r="F48" t="s">
        <v>372</v>
      </c>
      <c r="G48" t="s">
        <v>361</v>
      </c>
      <c r="H48" s="4" t="s">
        <v>373</v>
      </c>
      <c r="I48" s="4" t="s">
        <v>374</v>
      </c>
    </row>
    <row r="49" spans="1:9" x14ac:dyDescent="0.45">
      <c r="A49" t="s">
        <v>379</v>
      </c>
      <c r="B49" s="4" t="s">
        <v>380</v>
      </c>
      <c r="C49" t="s">
        <v>185</v>
      </c>
      <c r="D49" t="s">
        <v>301</v>
      </c>
      <c r="E49">
        <v>0.42</v>
      </c>
      <c r="F49" t="s">
        <v>381</v>
      </c>
      <c r="G49" t="s">
        <v>364</v>
      </c>
      <c r="H49" s="4" t="s">
        <v>382</v>
      </c>
      <c r="I49" s="4" t="s">
        <v>365</v>
      </c>
    </row>
    <row r="50" spans="1:9" x14ac:dyDescent="0.45">
      <c r="A50" t="s">
        <v>383</v>
      </c>
      <c r="C50" t="s">
        <v>185</v>
      </c>
      <c r="D50" t="s">
        <v>384</v>
      </c>
      <c r="E50">
        <v>75.849999999999994</v>
      </c>
      <c r="F50" t="s">
        <v>296</v>
      </c>
      <c r="G50" t="s">
        <v>385</v>
      </c>
    </row>
    <row r="51" spans="1:9" x14ac:dyDescent="0.45">
      <c r="A51" t="s">
        <v>386</v>
      </c>
      <c r="C51" t="s">
        <v>185</v>
      </c>
      <c r="D51" t="s">
        <v>387</v>
      </c>
      <c r="E51">
        <v>35.57</v>
      </c>
      <c r="F51" t="s">
        <v>296</v>
      </c>
      <c r="G51" t="s">
        <v>388</v>
      </c>
    </row>
    <row r="52" spans="1:9" x14ac:dyDescent="0.45">
      <c r="A52" t="s">
        <v>389</v>
      </c>
      <c r="C52" t="s">
        <v>390</v>
      </c>
      <c r="D52" t="s">
        <v>391</v>
      </c>
      <c r="E52">
        <v>12.82</v>
      </c>
      <c r="F52" t="s">
        <v>296</v>
      </c>
      <c r="G52" t="s">
        <v>392</v>
      </c>
    </row>
    <row r="53" spans="1:9" x14ac:dyDescent="0.45">
      <c r="A53" t="s">
        <v>393</v>
      </c>
      <c r="C53" t="s">
        <v>394</v>
      </c>
      <c r="D53" t="s">
        <v>395</v>
      </c>
      <c r="E53">
        <v>2.96</v>
      </c>
      <c r="F53" t="s">
        <v>296</v>
      </c>
      <c r="G53" t="s">
        <v>396</v>
      </c>
    </row>
    <row r="54" spans="1:9" x14ac:dyDescent="0.45">
      <c r="A54">
        <v>7233</v>
      </c>
      <c r="B54" s="4" t="s">
        <v>397</v>
      </c>
      <c r="C54" t="s">
        <v>185</v>
      </c>
      <c r="D54" t="s">
        <v>195</v>
      </c>
      <c r="E54">
        <v>0.49</v>
      </c>
      <c r="F54" t="s">
        <v>398</v>
      </c>
      <c r="G54" t="s">
        <v>399</v>
      </c>
      <c r="H54" s="4" t="s">
        <v>400</v>
      </c>
      <c r="I54" s="4" t="s">
        <v>401</v>
      </c>
    </row>
    <row r="55" spans="1:9" x14ac:dyDescent="0.45">
      <c r="A55">
        <v>7234</v>
      </c>
      <c r="B55" s="4" t="s">
        <v>402</v>
      </c>
      <c r="C55" t="s">
        <v>185</v>
      </c>
      <c r="D55" t="s">
        <v>190</v>
      </c>
      <c r="E55">
        <v>0.49</v>
      </c>
      <c r="F55" t="s">
        <v>296</v>
      </c>
      <c r="G55" t="s">
        <v>290</v>
      </c>
      <c r="H55" s="4" t="s">
        <v>298</v>
      </c>
      <c r="I55" s="4" t="s">
        <v>291</v>
      </c>
    </row>
    <row r="56" spans="1:9" x14ac:dyDescent="0.45">
      <c r="A56">
        <v>7235</v>
      </c>
      <c r="B56" s="4" t="s">
        <v>403</v>
      </c>
      <c r="C56" t="s">
        <v>185</v>
      </c>
      <c r="D56" t="s">
        <v>190</v>
      </c>
      <c r="E56">
        <v>0.49</v>
      </c>
      <c r="F56" t="s">
        <v>404</v>
      </c>
      <c r="G56" t="s">
        <v>398</v>
      </c>
      <c r="H56" s="4" t="s">
        <v>405</v>
      </c>
      <c r="I56" s="4" t="s">
        <v>400</v>
      </c>
    </row>
    <row r="57" spans="1:9" x14ac:dyDescent="0.45">
      <c r="A57">
        <v>7236</v>
      </c>
      <c r="B57" s="4" t="s">
        <v>406</v>
      </c>
      <c r="C57" t="s">
        <v>185</v>
      </c>
      <c r="D57" t="s">
        <v>190</v>
      </c>
      <c r="E57">
        <v>0.49</v>
      </c>
      <c r="F57" t="s">
        <v>407</v>
      </c>
      <c r="G57" t="s">
        <v>404</v>
      </c>
      <c r="H57" s="4" t="s">
        <v>408</v>
      </c>
      <c r="I57" s="4" t="s">
        <v>405</v>
      </c>
    </row>
    <row r="58" spans="1:9" x14ac:dyDescent="0.45">
      <c r="A58">
        <v>7237</v>
      </c>
      <c r="B58" s="4" t="s">
        <v>409</v>
      </c>
      <c r="C58" t="s">
        <v>185</v>
      </c>
      <c r="D58" t="s">
        <v>190</v>
      </c>
      <c r="E58">
        <v>0.49</v>
      </c>
      <c r="F58" t="s">
        <v>410</v>
      </c>
      <c r="G58" t="s">
        <v>407</v>
      </c>
      <c r="H58" s="4" t="s">
        <v>411</v>
      </c>
      <c r="I58" s="4" t="s">
        <v>408</v>
      </c>
    </row>
    <row r="59" spans="1:9" x14ac:dyDescent="0.45">
      <c r="A59">
        <v>7452</v>
      </c>
      <c r="B59" s="4" t="s">
        <v>412</v>
      </c>
      <c r="C59" t="s">
        <v>394</v>
      </c>
      <c r="D59" t="s">
        <v>301</v>
      </c>
      <c r="E59">
        <v>0.49</v>
      </c>
      <c r="F59" t="s">
        <v>192</v>
      </c>
      <c r="G59" t="s">
        <v>396</v>
      </c>
      <c r="H59" s="4" t="s">
        <v>218</v>
      </c>
      <c r="I59" s="4" t="s">
        <v>413</v>
      </c>
    </row>
    <row r="60" spans="1:9" x14ac:dyDescent="0.45">
      <c r="A60" t="s">
        <v>414</v>
      </c>
      <c r="C60" t="s">
        <v>415</v>
      </c>
      <c r="D60" t="s">
        <v>416</v>
      </c>
      <c r="E60">
        <v>1.48</v>
      </c>
      <c r="F60" t="s">
        <v>417</v>
      </c>
      <c r="G60" t="s">
        <v>192</v>
      </c>
    </row>
    <row r="61" spans="1:9" x14ac:dyDescent="0.45">
      <c r="A61">
        <v>7377</v>
      </c>
      <c r="B61" s="4" t="s">
        <v>418</v>
      </c>
      <c r="C61" t="s">
        <v>419</v>
      </c>
      <c r="D61" t="s">
        <v>195</v>
      </c>
      <c r="E61">
        <v>0.49</v>
      </c>
      <c r="F61" t="s">
        <v>404</v>
      </c>
      <c r="G61" t="s">
        <v>420</v>
      </c>
      <c r="H61" s="4" t="s">
        <v>405</v>
      </c>
      <c r="I61" s="4" t="s">
        <v>421</v>
      </c>
    </row>
    <row r="62" spans="1:9" x14ac:dyDescent="0.45">
      <c r="A62">
        <v>7405</v>
      </c>
      <c r="B62" s="4" t="s">
        <v>422</v>
      </c>
      <c r="C62" t="s">
        <v>423</v>
      </c>
      <c r="D62" t="s">
        <v>206</v>
      </c>
      <c r="E62">
        <v>0.49</v>
      </c>
      <c r="F62" t="s">
        <v>417</v>
      </c>
      <c r="G62" t="s">
        <v>246</v>
      </c>
      <c r="H62" s="4" t="s">
        <v>424</v>
      </c>
      <c r="I62" s="4" t="s">
        <v>247</v>
      </c>
    </row>
    <row r="63" spans="1:9" x14ac:dyDescent="0.45">
      <c r="A63">
        <v>7429</v>
      </c>
      <c r="B63" s="4" t="s">
        <v>425</v>
      </c>
      <c r="C63" t="s">
        <v>415</v>
      </c>
      <c r="D63" t="s">
        <v>190</v>
      </c>
      <c r="E63">
        <v>0.49</v>
      </c>
      <c r="F63" t="s">
        <v>398</v>
      </c>
      <c r="G63" t="s">
        <v>192</v>
      </c>
      <c r="H63" s="4" t="s">
        <v>400</v>
      </c>
      <c r="I63" s="4" t="s">
        <v>218</v>
      </c>
    </row>
    <row r="64" spans="1:9" x14ac:dyDescent="0.45">
      <c r="A64" t="s">
        <v>426</v>
      </c>
      <c r="C64" t="s">
        <v>427</v>
      </c>
      <c r="D64" t="s">
        <v>225</v>
      </c>
      <c r="E64">
        <v>2.4700000000000002</v>
      </c>
      <c r="F64" t="s">
        <v>290</v>
      </c>
      <c r="G64" t="s">
        <v>428</v>
      </c>
    </row>
    <row r="65" spans="1:9" x14ac:dyDescent="0.45">
      <c r="A65">
        <v>7229</v>
      </c>
      <c r="B65" s="4" t="s">
        <v>429</v>
      </c>
      <c r="C65" t="s">
        <v>190</v>
      </c>
      <c r="D65" t="s">
        <v>190</v>
      </c>
      <c r="E65">
        <v>0.49</v>
      </c>
      <c r="F65" t="s">
        <v>354</v>
      </c>
      <c r="G65" t="s">
        <v>430</v>
      </c>
      <c r="H65" s="4" t="s">
        <v>355</v>
      </c>
      <c r="I65" s="4" t="s">
        <v>431</v>
      </c>
    </row>
    <row r="66" spans="1:9" x14ac:dyDescent="0.45">
      <c r="A66">
        <v>7230</v>
      </c>
      <c r="B66" s="4" t="s">
        <v>432</v>
      </c>
      <c r="C66" t="s">
        <v>185</v>
      </c>
      <c r="D66" t="s">
        <v>195</v>
      </c>
      <c r="E66">
        <v>0.49</v>
      </c>
      <c r="F66" t="s">
        <v>290</v>
      </c>
      <c r="G66" t="s">
        <v>433</v>
      </c>
      <c r="H66" s="4" t="s">
        <v>291</v>
      </c>
      <c r="I66" s="4" t="s">
        <v>434</v>
      </c>
    </row>
    <row r="67" spans="1:9" x14ac:dyDescent="0.45">
      <c r="A67">
        <v>7231</v>
      </c>
      <c r="B67" s="4" t="s">
        <v>435</v>
      </c>
      <c r="C67" t="s">
        <v>185</v>
      </c>
      <c r="D67" t="s">
        <v>195</v>
      </c>
      <c r="E67">
        <v>0.49</v>
      </c>
      <c r="F67" t="s">
        <v>332</v>
      </c>
      <c r="G67" t="s">
        <v>354</v>
      </c>
      <c r="H67" s="4" t="s">
        <v>333</v>
      </c>
      <c r="I67" s="4" t="s">
        <v>355</v>
      </c>
    </row>
    <row r="68" spans="1:9" x14ac:dyDescent="0.45">
      <c r="A68">
        <v>7232</v>
      </c>
      <c r="B68" s="4" t="s">
        <v>436</v>
      </c>
      <c r="C68" t="s">
        <v>185</v>
      </c>
      <c r="D68" t="s">
        <v>190</v>
      </c>
      <c r="E68">
        <v>0.49</v>
      </c>
      <c r="F68" t="s">
        <v>192</v>
      </c>
      <c r="G68" t="s">
        <v>332</v>
      </c>
      <c r="H68" s="4" t="s">
        <v>218</v>
      </c>
      <c r="I68" s="4" t="s">
        <v>333</v>
      </c>
    </row>
    <row r="69" spans="1:9" x14ac:dyDescent="0.45">
      <c r="A69">
        <v>7453</v>
      </c>
      <c r="B69" s="4" t="s">
        <v>437</v>
      </c>
      <c r="C69" t="s">
        <v>427</v>
      </c>
      <c r="D69" t="s">
        <v>438</v>
      </c>
      <c r="E69">
        <v>0.49</v>
      </c>
      <c r="F69" t="s">
        <v>430</v>
      </c>
      <c r="G69" t="s">
        <v>428</v>
      </c>
      <c r="H69" s="4" t="s">
        <v>431</v>
      </c>
      <c r="I69" s="4" t="s">
        <v>439</v>
      </c>
    </row>
    <row r="70" spans="1:9" x14ac:dyDescent="0.45">
      <c r="A70" t="s">
        <v>440</v>
      </c>
      <c r="C70" t="s">
        <v>185</v>
      </c>
      <c r="D70" t="s">
        <v>441</v>
      </c>
      <c r="E70">
        <v>2.96</v>
      </c>
      <c r="F70" t="s">
        <v>433</v>
      </c>
      <c r="G70" t="s">
        <v>410</v>
      </c>
    </row>
    <row r="71" spans="1:9" x14ac:dyDescent="0.45">
      <c r="A71">
        <v>7238</v>
      </c>
      <c r="B71" s="4" t="s">
        <v>442</v>
      </c>
      <c r="C71" t="s">
        <v>185</v>
      </c>
      <c r="D71" t="s">
        <v>359</v>
      </c>
      <c r="E71">
        <v>0.49</v>
      </c>
      <c r="F71" t="s">
        <v>255</v>
      </c>
      <c r="G71" t="s">
        <v>410</v>
      </c>
      <c r="H71" s="4" t="s">
        <v>257</v>
      </c>
      <c r="I71" s="4" t="s">
        <v>411</v>
      </c>
    </row>
    <row r="72" spans="1:9" x14ac:dyDescent="0.45">
      <c r="A72">
        <v>7239</v>
      </c>
      <c r="B72" s="4" t="s">
        <v>443</v>
      </c>
      <c r="C72" t="s">
        <v>185</v>
      </c>
      <c r="D72" t="s">
        <v>190</v>
      </c>
      <c r="E72">
        <v>0.49</v>
      </c>
      <c r="F72" t="s">
        <v>241</v>
      </c>
      <c r="G72" t="s">
        <v>250</v>
      </c>
      <c r="H72" s="4" t="s">
        <v>243</v>
      </c>
      <c r="I72" s="4" t="s">
        <v>251</v>
      </c>
    </row>
    <row r="73" spans="1:9" x14ac:dyDescent="0.45">
      <c r="A73">
        <v>7240</v>
      </c>
      <c r="B73" s="4" t="s">
        <v>444</v>
      </c>
      <c r="C73" t="s">
        <v>185</v>
      </c>
      <c r="D73" t="s">
        <v>301</v>
      </c>
      <c r="E73">
        <v>0.49</v>
      </c>
      <c r="F73" t="s">
        <v>417</v>
      </c>
      <c r="G73" t="s">
        <v>241</v>
      </c>
      <c r="H73" s="4" t="s">
        <v>424</v>
      </c>
      <c r="I73" s="4" t="s">
        <v>243</v>
      </c>
    </row>
    <row r="74" spans="1:9" x14ac:dyDescent="0.45">
      <c r="A74">
        <v>7241</v>
      </c>
      <c r="B74" s="4" t="s">
        <v>445</v>
      </c>
      <c r="C74" t="s">
        <v>185</v>
      </c>
      <c r="D74" t="s">
        <v>301</v>
      </c>
      <c r="E74">
        <v>0.49</v>
      </c>
      <c r="F74" t="s">
        <v>446</v>
      </c>
      <c r="G74" t="s">
        <v>417</v>
      </c>
      <c r="H74" s="4" t="s">
        <v>447</v>
      </c>
      <c r="I74" s="4" t="s">
        <v>424</v>
      </c>
    </row>
    <row r="75" spans="1:9" x14ac:dyDescent="0.45">
      <c r="A75">
        <v>7242</v>
      </c>
      <c r="B75" s="4" t="s">
        <v>448</v>
      </c>
      <c r="C75" t="s">
        <v>185</v>
      </c>
      <c r="D75" t="s">
        <v>195</v>
      </c>
      <c r="E75">
        <v>0.49</v>
      </c>
      <c r="F75" t="s">
        <v>303</v>
      </c>
      <c r="G75" t="s">
        <v>446</v>
      </c>
      <c r="H75" s="4" t="s">
        <v>305</v>
      </c>
      <c r="I75" s="4" t="s">
        <v>447</v>
      </c>
    </row>
    <row r="76" spans="1:9" x14ac:dyDescent="0.45">
      <c r="A76">
        <v>7243</v>
      </c>
      <c r="B76" s="4" t="s">
        <v>449</v>
      </c>
      <c r="C76" t="s">
        <v>185</v>
      </c>
      <c r="D76" t="s">
        <v>190</v>
      </c>
      <c r="E76">
        <v>0.49</v>
      </c>
      <c r="F76" t="s">
        <v>433</v>
      </c>
      <c r="G76" t="s">
        <v>303</v>
      </c>
      <c r="H76" s="4" t="s">
        <v>434</v>
      </c>
      <c r="I76" s="4" t="s">
        <v>305</v>
      </c>
    </row>
    <row r="77" spans="1:9" x14ac:dyDescent="0.45">
      <c r="A77" t="s">
        <v>450</v>
      </c>
      <c r="C77" t="s">
        <v>390</v>
      </c>
      <c r="D77" t="s">
        <v>294</v>
      </c>
      <c r="E77">
        <v>2.96</v>
      </c>
      <c r="F77" t="s">
        <v>354</v>
      </c>
      <c r="G77" t="s">
        <v>392</v>
      </c>
    </row>
    <row r="78" spans="1:9" x14ac:dyDescent="0.45">
      <c r="A78">
        <v>7244</v>
      </c>
      <c r="B78" s="4" t="s">
        <v>451</v>
      </c>
      <c r="C78" t="s">
        <v>185</v>
      </c>
      <c r="D78" t="s">
        <v>190</v>
      </c>
      <c r="E78">
        <v>0.49</v>
      </c>
      <c r="F78" t="s">
        <v>326</v>
      </c>
      <c r="G78" t="s">
        <v>428</v>
      </c>
      <c r="H78" s="4" t="s">
        <v>334</v>
      </c>
      <c r="I78" s="4" t="s">
        <v>439</v>
      </c>
    </row>
    <row r="79" spans="1:9" x14ac:dyDescent="0.45">
      <c r="A79">
        <v>7245</v>
      </c>
      <c r="B79" s="4" t="s">
        <v>452</v>
      </c>
      <c r="C79" t="s">
        <v>185</v>
      </c>
      <c r="D79" t="s">
        <v>190</v>
      </c>
      <c r="E79">
        <v>0.49</v>
      </c>
      <c r="F79" t="s">
        <v>326</v>
      </c>
      <c r="G79" t="s">
        <v>428</v>
      </c>
      <c r="H79" s="4" t="s">
        <v>334</v>
      </c>
      <c r="I79" s="4" t="s">
        <v>439</v>
      </c>
    </row>
    <row r="80" spans="1:9" x14ac:dyDescent="0.45">
      <c r="A80">
        <v>7246</v>
      </c>
      <c r="B80" s="4" t="s">
        <v>453</v>
      </c>
      <c r="C80" t="s">
        <v>185</v>
      </c>
      <c r="D80" t="s">
        <v>438</v>
      </c>
      <c r="E80">
        <v>0.49</v>
      </c>
      <c r="F80" t="s">
        <v>354</v>
      </c>
      <c r="G80" t="s">
        <v>326</v>
      </c>
      <c r="H80" s="4" t="s">
        <v>355</v>
      </c>
      <c r="I80" s="4" t="s">
        <v>334</v>
      </c>
    </row>
    <row r="81" spans="1:9" x14ac:dyDescent="0.45">
      <c r="A81">
        <v>7299</v>
      </c>
      <c r="B81" s="4" t="s">
        <v>454</v>
      </c>
      <c r="C81" t="s">
        <v>185</v>
      </c>
      <c r="D81" t="s">
        <v>195</v>
      </c>
      <c r="E81">
        <v>0.49</v>
      </c>
      <c r="F81" t="s">
        <v>455</v>
      </c>
      <c r="G81" t="s">
        <v>392</v>
      </c>
      <c r="H81" s="4" t="s">
        <v>456</v>
      </c>
      <c r="I81" s="4" t="s">
        <v>457</v>
      </c>
    </row>
    <row r="82" spans="1:9" x14ac:dyDescent="0.45">
      <c r="A82">
        <v>7300</v>
      </c>
      <c r="B82" s="4" t="s">
        <v>458</v>
      </c>
      <c r="C82" t="s">
        <v>185</v>
      </c>
      <c r="D82" t="s">
        <v>195</v>
      </c>
      <c r="E82">
        <v>0.49</v>
      </c>
      <c r="F82" t="s">
        <v>455</v>
      </c>
      <c r="G82" t="s">
        <v>392</v>
      </c>
      <c r="H82" s="4" t="s">
        <v>456</v>
      </c>
      <c r="I82" s="4" t="s">
        <v>457</v>
      </c>
    </row>
    <row r="83" spans="1:9" x14ac:dyDescent="0.45">
      <c r="A83">
        <v>7301</v>
      </c>
      <c r="B83" s="4" t="s">
        <v>459</v>
      </c>
      <c r="C83" t="s">
        <v>185</v>
      </c>
      <c r="D83" t="s">
        <v>195</v>
      </c>
      <c r="E83">
        <v>0.49</v>
      </c>
      <c r="F83" t="s">
        <v>428</v>
      </c>
      <c r="G83" t="s">
        <v>455</v>
      </c>
      <c r="H83" s="4" t="s">
        <v>439</v>
      </c>
      <c r="I83" s="4" t="s">
        <v>456</v>
      </c>
    </row>
    <row r="84" spans="1:9" x14ac:dyDescent="0.45">
      <c r="A84">
        <v>7311</v>
      </c>
      <c r="B84" s="4" t="s">
        <v>460</v>
      </c>
      <c r="C84" t="s">
        <v>390</v>
      </c>
      <c r="D84" t="s">
        <v>185</v>
      </c>
      <c r="E84">
        <v>0</v>
      </c>
      <c r="G84" t="s">
        <v>392</v>
      </c>
      <c r="I84" s="4" t="s">
        <v>457</v>
      </c>
    </row>
    <row r="85" spans="1:9" x14ac:dyDescent="0.45">
      <c r="A85" t="s">
        <v>461</v>
      </c>
      <c r="C85" t="s">
        <v>190</v>
      </c>
      <c r="D85" t="s">
        <v>462</v>
      </c>
      <c r="E85">
        <v>15.14</v>
      </c>
      <c r="F85" t="s">
        <v>290</v>
      </c>
      <c r="G85" t="s">
        <v>463</v>
      </c>
    </row>
    <row r="86" spans="1:9" x14ac:dyDescent="0.45">
      <c r="A86" t="s">
        <v>464</v>
      </c>
      <c r="B86" s="4" t="s">
        <v>465</v>
      </c>
      <c r="C86" t="s">
        <v>427</v>
      </c>
      <c r="D86" t="s">
        <v>466</v>
      </c>
      <c r="E86">
        <v>0.56000000000000005</v>
      </c>
      <c r="F86" t="s">
        <v>430</v>
      </c>
      <c r="G86" t="s">
        <v>467</v>
      </c>
      <c r="H86" s="4" t="s">
        <v>431</v>
      </c>
      <c r="I86" s="4" t="s">
        <v>468</v>
      </c>
    </row>
    <row r="87" spans="1:9" x14ac:dyDescent="0.45">
      <c r="A87" t="s">
        <v>469</v>
      </c>
      <c r="B87" s="4" t="s">
        <v>470</v>
      </c>
      <c r="C87" t="s">
        <v>471</v>
      </c>
      <c r="D87" t="s">
        <v>279</v>
      </c>
      <c r="E87">
        <v>0.56000000000000005</v>
      </c>
      <c r="F87" t="s">
        <v>433</v>
      </c>
      <c r="G87" t="s">
        <v>312</v>
      </c>
      <c r="H87" s="4" t="s">
        <v>434</v>
      </c>
      <c r="I87" s="4" t="s">
        <v>314</v>
      </c>
    </row>
    <row r="88" spans="1:9" x14ac:dyDescent="0.45">
      <c r="A88" t="s">
        <v>472</v>
      </c>
      <c r="B88" s="4" t="s">
        <v>473</v>
      </c>
      <c r="C88" t="s">
        <v>474</v>
      </c>
      <c r="D88" t="s">
        <v>475</v>
      </c>
      <c r="E88">
        <v>0.56000000000000005</v>
      </c>
      <c r="F88" t="s">
        <v>354</v>
      </c>
      <c r="G88" t="s">
        <v>476</v>
      </c>
      <c r="H88" s="4" t="s">
        <v>355</v>
      </c>
      <c r="I88" s="4" t="s">
        <v>162</v>
      </c>
    </row>
    <row r="89" spans="1:9" x14ac:dyDescent="0.45">
      <c r="A89" t="s">
        <v>477</v>
      </c>
      <c r="B89" s="4" t="s">
        <v>478</v>
      </c>
      <c r="C89" t="s">
        <v>225</v>
      </c>
      <c r="D89" t="s">
        <v>479</v>
      </c>
      <c r="E89">
        <v>0.56000000000000005</v>
      </c>
      <c r="F89" t="s">
        <v>332</v>
      </c>
      <c r="G89" t="s">
        <v>480</v>
      </c>
      <c r="H89" s="4" t="s">
        <v>333</v>
      </c>
      <c r="I89" s="4" t="s">
        <v>481</v>
      </c>
    </row>
    <row r="90" spans="1:9" x14ac:dyDescent="0.45">
      <c r="A90" t="s">
        <v>482</v>
      </c>
      <c r="B90" s="4" t="s">
        <v>483</v>
      </c>
      <c r="C90" t="s">
        <v>394</v>
      </c>
      <c r="D90" t="s">
        <v>484</v>
      </c>
      <c r="E90">
        <v>0.56000000000000005</v>
      </c>
      <c r="F90" t="s">
        <v>192</v>
      </c>
      <c r="G90" t="s">
        <v>485</v>
      </c>
      <c r="H90" s="4" t="s">
        <v>218</v>
      </c>
      <c r="I90" s="4" t="s">
        <v>486</v>
      </c>
    </row>
    <row r="91" spans="1:9" x14ac:dyDescent="0.45">
      <c r="A91" t="s">
        <v>487</v>
      </c>
      <c r="B91" s="4" t="s">
        <v>488</v>
      </c>
      <c r="C91" t="s">
        <v>489</v>
      </c>
      <c r="D91" t="s">
        <v>490</v>
      </c>
      <c r="E91">
        <v>0.49</v>
      </c>
      <c r="F91" t="s">
        <v>290</v>
      </c>
      <c r="G91" t="s">
        <v>364</v>
      </c>
      <c r="H91" s="4" t="s">
        <v>291</v>
      </c>
      <c r="I91" s="4" t="s">
        <v>365</v>
      </c>
    </row>
    <row r="92" spans="1:9" x14ac:dyDescent="0.45">
      <c r="A92" t="s">
        <v>491</v>
      </c>
      <c r="B92" s="4" t="s">
        <v>492</v>
      </c>
      <c r="C92" t="s">
        <v>394</v>
      </c>
      <c r="D92" t="s">
        <v>466</v>
      </c>
      <c r="E92">
        <v>0.56000000000000005</v>
      </c>
      <c r="F92" t="s">
        <v>398</v>
      </c>
      <c r="G92" t="s">
        <v>485</v>
      </c>
      <c r="H92" s="4" t="s">
        <v>400</v>
      </c>
      <c r="I92" s="4" t="s">
        <v>486</v>
      </c>
    </row>
    <row r="93" spans="1:9" x14ac:dyDescent="0.45">
      <c r="A93" t="s">
        <v>493</v>
      </c>
      <c r="B93" s="4" t="s">
        <v>494</v>
      </c>
      <c r="C93" t="s">
        <v>419</v>
      </c>
      <c r="D93" t="s">
        <v>475</v>
      </c>
      <c r="E93">
        <v>0.56000000000000005</v>
      </c>
      <c r="F93" t="s">
        <v>404</v>
      </c>
      <c r="G93" t="s">
        <v>392</v>
      </c>
      <c r="H93" s="4" t="s">
        <v>405</v>
      </c>
      <c r="I93" s="4" t="s">
        <v>457</v>
      </c>
    </row>
    <row r="94" spans="1:9" x14ac:dyDescent="0.45">
      <c r="A94" t="s">
        <v>495</v>
      </c>
      <c r="B94" s="4" t="s">
        <v>496</v>
      </c>
      <c r="C94" t="s">
        <v>390</v>
      </c>
      <c r="D94" t="s">
        <v>279</v>
      </c>
      <c r="E94">
        <v>0.56000000000000005</v>
      </c>
      <c r="F94" t="s">
        <v>407</v>
      </c>
      <c r="G94" t="s">
        <v>428</v>
      </c>
      <c r="H94" s="4" t="s">
        <v>408</v>
      </c>
      <c r="I94" s="4" t="s">
        <v>439</v>
      </c>
    </row>
    <row r="95" spans="1:9" x14ac:dyDescent="0.45">
      <c r="A95" t="s">
        <v>497</v>
      </c>
      <c r="B95" s="4" t="s">
        <v>498</v>
      </c>
      <c r="C95" t="s">
        <v>499</v>
      </c>
      <c r="D95" t="s">
        <v>500</v>
      </c>
      <c r="E95">
        <v>0.56000000000000005</v>
      </c>
      <c r="F95" t="s">
        <v>410</v>
      </c>
      <c r="G95" t="s">
        <v>501</v>
      </c>
      <c r="H95" s="4" t="s">
        <v>411</v>
      </c>
      <c r="I95" s="4" t="s">
        <v>502</v>
      </c>
    </row>
    <row r="96" spans="1:9" x14ac:dyDescent="0.45">
      <c r="A96" t="s">
        <v>503</v>
      </c>
      <c r="B96" s="4" t="s">
        <v>504</v>
      </c>
      <c r="C96" t="s">
        <v>390</v>
      </c>
      <c r="D96" t="s">
        <v>505</v>
      </c>
      <c r="E96">
        <v>0.56000000000000005</v>
      </c>
      <c r="F96" t="s">
        <v>255</v>
      </c>
      <c r="G96" t="s">
        <v>428</v>
      </c>
      <c r="H96" s="4" t="s">
        <v>257</v>
      </c>
      <c r="I96" s="4" t="s">
        <v>439</v>
      </c>
    </row>
    <row r="97" spans="1:9" x14ac:dyDescent="0.45">
      <c r="A97" t="s">
        <v>506</v>
      </c>
      <c r="B97" s="4" t="s">
        <v>507</v>
      </c>
      <c r="C97" t="s">
        <v>390</v>
      </c>
      <c r="D97" t="s">
        <v>508</v>
      </c>
      <c r="E97">
        <v>0.56000000000000005</v>
      </c>
      <c r="F97" t="s">
        <v>241</v>
      </c>
      <c r="G97" t="s">
        <v>428</v>
      </c>
      <c r="H97" s="4" t="s">
        <v>243</v>
      </c>
      <c r="I97" s="4" t="s">
        <v>439</v>
      </c>
    </row>
    <row r="98" spans="1:9" x14ac:dyDescent="0.45">
      <c r="A98" t="s">
        <v>509</v>
      </c>
      <c r="B98" s="4" t="s">
        <v>510</v>
      </c>
      <c r="C98" t="s">
        <v>511</v>
      </c>
      <c r="D98" t="s">
        <v>490</v>
      </c>
      <c r="E98">
        <v>0.56000000000000005</v>
      </c>
      <c r="F98" t="s">
        <v>417</v>
      </c>
      <c r="G98" t="s">
        <v>396</v>
      </c>
      <c r="H98" s="4" t="s">
        <v>424</v>
      </c>
      <c r="I98" s="4" t="s">
        <v>413</v>
      </c>
    </row>
    <row r="99" spans="1:9" x14ac:dyDescent="0.45">
      <c r="A99" t="s">
        <v>512</v>
      </c>
      <c r="B99" s="4" t="s">
        <v>513</v>
      </c>
      <c r="C99" t="s">
        <v>514</v>
      </c>
      <c r="D99" t="s">
        <v>505</v>
      </c>
      <c r="E99">
        <v>0.56000000000000005</v>
      </c>
      <c r="F99" t="s">
        <v>446</v>
      </c>
      <c r="G99" t="s">
        <v>332</v>
      </c>
      <c r="H99" s="4" t="s">
        <v>447</v>
      </c>
      <c r="I99" s="4" t="s">
        <v>333</v>
      </c>
    </row>
    <row r="100" spans="1:9" x14ac:dyDescent="0.45">
      <c r="A100" t="s">
        <v>515</v>
      </c>
      <c r="B100" s="4" t="s">
        <v>516</v>
      </c>
      <c r="C100" t="s">
        <v>517</v>
      </c>
      <c r="D100" t="s">
        <v>490</v>
      </c>
      <c r="E100">
        <v>0.56000000000000005</v>
      </c>
      <c r="F100" t="s">
        <v>303</v>
      </c>
      <c r="G100" t="s">
        <v>420</v>
      </c>
      <c r="H100" s="4" t="s">
        <v>305</v>
      </c>
      <c r="I100" s="4" t="s">
        <v>421</v>
      </c>
    </row>
    <row r="101" spans="1:9" x14ac:dyDescent="0.45">
      <c r="A101" t="s">
        <v>518</v>
      </c>
      <c r="B101" s="4" t="s">
        <v>519</v>
      </c>
      <c r="C101" t="s">
        <v>520</v>
      </c>
      <c r="D101" t="s">
        <v>321</v>
      </c>
      <c r="E101">
        <v>0.56000000000000005</v>
      </c>
      <c r="F101" t="s">
        <v>428</v>
      </c>
      <c r="G101" t="s">
        <v>521</v>
      </c>
      <c r="H101" s="4" t="s">
        <v>439</v>
      </c>
      <c r="I101" s="4" t="s">
        <v>522</v>
      </c>
    </row>
    <row r="102" spans="1:9" x14ac:dyDescent="0.45">
      <c r="A102" t="s">
        <v>523</v>
      </c>
      <c r="B102" s="4" t="s">
        <v>524</v>
      </c>
      <c r="C102" t="s">
        <v>525</v>
      </c>
      <c r="D102" t="s">
        <v>475</v>
      </c>
      <c r="E102">
        <v>0.56000000000000005</v>
      </c>
      <c r="F102" t="s">
        <v>428</v>
      </c>
      <c r="G102" t="s">
        <v>526</v>
      </c>
      <c r="H102" s="4" t="s">
        <v>439</v>
      </c>
      <c r="I102" s="4" t="s">
        <v>527</v>
      </c>
    </row>
    <row r="103" spans="1:9" x14ac:dyDescent="0.45">
      <c r="A103" t="s">
        <v>528</v>
      </c>
      <c r="B103" s="4" t="s">
        <v>529</v>
      </c>
      <c r="C103" t="s">
        <v>525</v>
      </c>
      <c r="D103" t="s">
        <v>466</v>
      </c>
      <c r="E103">
        <v>0.56000000000000005</v>
      </c>
      <c r="F103" t="s">
        <v>326</v>
      </c>
      <c r="G103" t="s">
        <v>526</v>
      </c>
      <c r="H103" s="4" t="s">
        <v>334</v>
      </c>
      <c r="I103" s="4" t="s">
        <v>527</v>
      </c>
    </row>
    <row r="104" spans="1:9" x14ac:dyDescent="0.45">
      <c r="A104" t="s">
        <v>532</v>
      </c>
      <c r="B104" s="4" t="s">
        <v>533</v>
      </c>
      <c r="C104" t="s">
        <v>534</v>
      </c>
      <c r="D104" t="s">
        <v>279</v>
      </c>
      <c r="E104">
        <v>0.56000000000000005</v>
      </c>
      <c r="F104" t="s">
        <v>392</v>
      </c>
      <c r="G104" t="s">
        <v>535</v>
      </c>
      <c r="H104" s="4" t="s">
        <v>457</v>
      </c>
      <c r="I104" s="4" t="s">
        <v>536</v>
      </c>
    </row>
    <row r="105" spans="1:9" x14ac:dyDescent="0.45">
      <c r="A105" t="s">
        <v>537</v>
      </c>
      <c r="B105" s="4" t="s">
        <v>538</v>
      </c>
      <c r="C105" t="s">
        <v>539</v>
      </c>
      <c r="D105" t="s">
        <v>540</v>
      </c>
      <c r="E105">
        <v>0.56000000000000005</v>
      </c>
      <c r="F105" t="s">
        <v>392</v>
      </c>
      <c r="G105" t="s">
        <v>535</v>
      </c>
      <c r="H105" s="4" t="s">
        <v>457</v>
      </c>
      <c r="I105" s="4" t="s">
        <v>536</v>
      </c>
    </row>
    <row r="106" spans="1:9" x14ac:dyDescent="0.45">
      <c r="A106" t="s">
        <v>541</v>
      </c>
      <c r="B106" s="4" t="s">
        <v>542</v>
      </c>
      <c r="C106" t="s">
        <v>525</v>
      </c>
      <c r="D106" t="s">
        <v>540</v>
      </c>
      <c r="E106">
        <v>0.56000000000000005</v>
      </c>
      <c r="F106" t="s">
        <v>455</v>
      </c>
      <c r="G106" t="s">
        <v>526</v>
      </c>
      <c r="H106" s="4" t="s">
        <v>456</v>
      </c>
      <c r="I106" s="4" t="s">
        <v>527</v>
      </c>
    </row>
    <row r="107" spans="1:9" x14ac:dyDescent="0.45">
      <c r="A107" t="s">
        <v>543</v>
      </c>
      <c r="B107" s="4" t="s">
        <v>544</v>
      </c>
      <c r="C107" t="s">
        <v>419</v>
      </c>
      <c r="D107" t="s">
        <v>540</v>
      </c>
      <c r="E107">
        <v>0.56000000000000005</v>
      </c>
      <c r="F107" t="s">
        <v>420</v>
      </c>
      <c r="G107" t="s">
        <v>392</v>
      </c>
      <c r="H107" s="4" t="s">
        <v>421</v>
      </c>
      <c r="I107" s="4" t="s">
        <v>457</v>
      </c>
    </row>
    <row r="108" spans="1:9" x14ac:dyDescent="0.45">
      <c r="A108" t="s">
        <v>545</v>
      </c>
      <c r="B108" s="4" t="s">
        <v>546</v>
      </c>
      <c r="C108" t="s">
        <v>423</v>
      </c>
      <c r="D108" t="s">
        <v>520</v>
      </c>
      <c r="E108">
        <v>0.56000000000000005</v>
      </c>
      <c r="F108" t="s">
        <v>246</v>
      </c>
      <c r="G108" t="s">
        <v>501</v>
      </c>
      <c r="H108" s="4" t="s">
        <v>247</v>
      </c>
      <c r="I108" s="4" t="s">
        <v>502</v>
      </c>
    </row>
    <row r="109" spans="1:9" x14ac:dyDescent="0.45">
      <c r="A109" t="s">
        <v>547</v>
      </c>
      <c r="B109" s="4" t="s">
        <v>548</v>
      </c>
      <c r="C109" t="s">
        <v>415</v>
      </c>
      <c r="D109" t="s">
        <v>479</v>
      </c>
      <c r="E109">
        <v>0.56000000000000005</v>
      </c>
      <c r="F109" t="s">
        <v>192</v>
      </c>
      <c r="G109" t="s">
        <v>549</v>
      </c>
      <c r="H109" s="4" t="s">
        <v>218</v>
      </c>
      <c r="I109" s="4" t="s">
        <v>550</v>
      </c>
    </row>
    <row r="110" spans="1:9" x14ac:dyDescent="0.45">
      <c r="A110" t="s">
        <v>906</v>
      </c>
      <c r="B110" s="4" t="s">
        <v>530</v>
      </c>
      <c r="C110" t="s">
        <v>394</v>
      </c>
      <c r="D110" t="s">
        <v>479</v>
      </c>
      <c r="E110">
        <v>0.56000000000000005</v>
      </c>
      <c r="F110" t="s">
        <v>396</v>
      </c>
      <c r="G110" t="s">
        <v>485</v>
      </c>
      <c r="H110" s="4" t="s">
        <v>413</v>
      </c>
      <c r="I110" s="4" t="s">
        <v>486</v>
      </c>
    </row>
    <row r="111" spans="1:9" x14ac:dyDescent="0.45">
      <c r="A111" t="s">
        <v>907</v>
      </c>
      <c r="B111" s="4" t="s">
        <v>531</v>
      </c>
      <c r="C111" t="s">
        <v>427</v>
      </c>
      <c r="D111" t="s">
        <v>479</v>
      </c>
      <c r="E111">
        <v>0.56000000000000005</v>
      </c>
      <c r="F111" t="s">
        <v>428</v>
      </c>
      <c r="G111" t="s">
        <v>467</v>
      </c>
      <c r="H111" s="4" t="s">
        <v>439</v>
      </c>
      <c r="I111" s="4" t="s">
        <v>468</v>
      </c>
    </row>
    <row r="112" spans="1:9" x14ac:dyDescent="0.45">
      <c r="A112" t="s">
        <v>551</v>
      </c>
      <c r="B112" s="4" t="s">
        <v>552</v>
      </c>
      <c r="C112" t="s">
        <v>301</v>
      </c>
      <c r="D112" t="s">
        <v>185</v>
      </c>
      <c r="E112">
        <v>0</v>
      </c>
      <c r="G112" t="s">
        <v>463</v>
      </c>
      <c r="I112" s="4" t="s">
        <v>553</v>
      </c>
    </row>
    <row r="113" spans="1:9" x14ac:dyDescent="0.45">
      <c r="A113" t="s">
        <v>554</v>
      </c>
      <c r="C113" t="s">
        <v>185</v>
      </c>
      <c r="D113" t="s">
        <v>555</v>
      </c>
      <c r="E113">
        <v>0.56000000000000005</v>
      </c>
      <c r="F113" t="s">
        <v>262</v>
      </c>
      <c r="G113" t="s">
        <v>463</v>
      </c>
    </row>
    <row r="114" spans="1:9" x14ac:dyDescent="0.45">
      <c r="A114" t="s">
        <v>556</v>
      </c>
      <c r="B114" s="4" t="s">
        <v>557</v>
      </c>
      <c r="C114" t="s">
        <v>185</v>
      </c>
      <c r="D114" t="s">
        <v>555</v>
      </c>
      <c r="E114">
        <v>0.56000000000000005</v>
      </c>
      <c r="F114" t="s">
        <v>262</v>
      </c>
      <c r="G114" t="s">
        <v>463</v>
      </c>
      <c r="H114" s="4" t="s">
        <v>264</v>
      </c>
      <c r="I114" s="4" t="s">
        <v>553</v>
      </c>
    </row>
    <row r="115" spans="1:9" x14ac:dyDescent="0.45">
      <c r="A115" t="s">
        <v>558</v>
      </c>
      <c r="C115" t="s">
        <v>185</v>
      </c>
      <c r="D115" t="s">
        <v>559</v>
      </c>
      <c r="E115">
        <v>7.61</v>
      </c>
      <c r="F115" t="s">
        <v>312</v>
      </c>
      <c r="G115" t="s">
        <v>388</v>
      </c>
    </row>
    <row r="116" spans="1:9" x14ac:dyDescent="0.45">
      <c r="A116" t="s">
        <v>560</v>
      </c>
      <c r="B116" s="4" t="s">
        <v>561</v>
      </c>
      <c r="C116" t="s">
        <v>185</v>
      </c>
      <c r="D116" t="s">
        <v>190</v>
      </c>
      <c r="E116">
        <v>0.28000000000000003</v>
      </c>
      <c r="F116" t="s">
        <v>562</v>
      </c>
      <c r="G116" t="s">
        <v>388</v>
      </c>
      <c r="H116" s="4" t="s">
        <v>563</v>
      </c>
      <c r="I116" s="4" t="s">
        <v>564</v>
      </c>
    </row>
    <row r="117" spans="1:9" x14ac:dyDescent="0.45">
      <c r="A117" t="s">
        <v>565</v>
      </c>
      <c r="B117" s="4" t="s">
        <v>566</v>
      </c>
      <c r="C117" t="s">
        <v>234</v>
      </c>
      <c r="D117" t="s">
        <v>190</v>
      </c>
      <c r="E117">
        <v>0.28000000000000003</v>
      </c>
      <c r="F117" t="s">
        <v>467</v>
      </c>
      <c r="G117" t="s">
        <v>567</v>
      </c>
      <c r="H117" s="4" t="s">
        <v>468</v>
      </c>
      <c r="I117" s="4" t="s">
        <v>568</v>
      </c>
    </row>
    <row r="118" spans="1:9" x14ac:dyDescent="0.45">
      <c r="A118" t="s">
        <v>569</v>
      </c>
      <c r="B118" s="4" t="s">
        <v>570</v>
      </c>
      <c r="C118" t="s">
        <v>511</v>
      </c>
      <c r="D118" t="s">
        <v>190</v>
      </c>
      <c r="E118">
        <v>0.28000000000000003</v>
      </c>
      <c r="F118" t="s">
        <v>312</v>
      </c>
      <c r="G118" t="s">
        <v>381</v>
      </c>
      <c r="H118" s="4" t="s">
        <v>314</v>
      </c>
      <c r="I118" s="4" t="s">
        <v>382</v>
      </c>
    </row>
    <row r="119" spans="1:9" x14ac:dyDescent="0.45">
      <c r="A119" t="s">
        <v>571</v>
      </c>
      <c r="B119" s="4" t="s">
        <v>572</v>
      </c>
      <c r="C119" t="s">
        <v>539</v>
      </c>
      <c r="D119" t="s">
        <v>190</v>
      </c>
      <c r="E119">
        <v>0.28000000000000003</v>
      </c>
      <c r="F119" t="s">
        <v>476</v>
      </c>
      <c r="G119" t="s">
        <v>521</v>
      </c>
      <c r="H119" s="4" t="s">
        <v>162</v>
      </c>
      <c r="I119" s="4" t="s">
        <v>522</v>
      </c>
    </row>
    <row r="120" spans="1:9" x14ac:dyDescent="0.45">
      <c r="A120" t="s">
        <v>573</v>
      </c>
      <c r="B120" s="4" t="s">
        <v>574</v>
      </c>
      <c r="C120" t="s">
        <v>280</v>
      </c>
      <c r="D120" t="s">
        <v>190</v>
      </c>
      <c r="E120">
        <v>0.28000000000000003</v>
      </c>
      <c r="F120" t="s">
        <v>480</v>
      </c>
      <c r="G120" t="s">
        <v>575</v>
      </c>
      <c r="H120" s="4" t="s">
        <v>481</v>
      </c>
      <c r="I120" s="4" t="s">
        <v>576</v>
      </c>
    </row>
    <row r="121" spans="1:9" x14ac:dyDescent="0.45">
      <c r="A121" t="s">
        <v>577</v>
      </c>
      <c r="B121" s="4" t="s">
        <v>578</v>
      </c>
      <c r="C121" t="s">
        <v>579</v>
      </c>
      <c r="D121" t="s">
        <v>190</v>
      </c>
      <c r="E121">
        <v>0.28000000000000003</v>
      </c>
      <c r="F121" t="s">
        <v>485</v>
      </c>
      <c r="G121" t="s">
        <v>476</v>
      </c>
      <c r="H121" s="4" t="s">
        <v>486</v>
      </c>
      <c r="I121" s="4" t="s">
        <v>162</v>
      </c>
    </row>
    <row r="122" spans="1:9" x14ac:dyDescent="0.45">
      <c r="A122" t="s">
        <v>580</v>
      </c>
      <c r="B122" s="4" t="s">
        <v>581</v>
      </c>
      <c r="C122" t="s">
        <v>582</v>
      </c>
      <c r="D122" t="s">
        <v>190</v>
      </c>
      <c r="E122">
        <v>0.28000000000000003</v>
      </c>
      <c r="F122" t="s">
        <v>364</v>
      </c>
      <c r="G122" t="s">
        <v>420</v>
      </c>
      <c r="H122" s="4" t="s">
        <v>365</v>
      </c>
      <c r="I122" s="4" t="s">
        <v>421</v>
      </c>
    </row>
    <row r="123" spans="1:9" x14ac:dyDescent="0.45">
      <c r="A123" t="s">
        <v>583</v>
      </c>
      <c r="B123" s="4" t="s">
        <v>584</v>
      </c>
      <c r="C123" t="s">
        <v>579</v>
      </c>
      <c r="D123" t="s">
        <v>190</v>
      </c>
      <c r="E123">
        <v>0.28000000000000003</v>
      </c>
      <c r="F123" t="s">
        <v>485</v>
      </c>
      <c r="G123" t="s">
        <v>476</v>
      </c>
      <c r="H123" s="4" t="s">
        <v>486</v>
      </c>
      <c r="I123" s="4" t="s">
        <v>162</v>
      </c>
    </row>
    <row r="124" spans="1:9" x14ac:dyDescent="0.45">
      <c r="A124" t="s">
        <v>585</v>
      </c>
      <c r="B124" s="4" t="s">
        <v>586</v>
      </c>
      <c r="C124" t="s">
        <v>520</v>
      </c>
      <c r="D124" t="s">
        <v>190</v>
      </c>
      <c r="E124">
        <v>0.28000000000000003</v>
      </c>
      <c r="F124" t="s">
        <v>392</v>
      </c>
      <c r="G124" t="s">
        <v>480</v>
      </c>
      <c r="H124" s="4" t="s">
        <v>457</v>
      </c>
      <c r="I124" s="4" t="s">
        <v>481</v>
      </c>
    </row>
    <row r="125" spans="1:9" x14ac:dyDescent="0.45">
      <c r="A125" t="s">
        <v>587</v>
      </c>
      <c r="B125" s="4" t="s">
        <v>588</v>
      </c>
      <c r="C125" t="s">
        <v>589</v>
      </c>
      <c r="D125" t="s">
        <v>190</v>
      </c>
      <c r="E125">
        <v>0.28000000000000003</v>
      </c>
      <c r="F125" t="s">
        <v>590</v>
      </c>
      <c r="G125" t="s">
        <v>368</v>
      </c>
      <c r="H125" s="4" t="s">
        <v>591</v>
      </c>
      <c r="I125" s="4" t="s">
        <v>369</v>
      </c>
    </row>
    <row r="126" spans="1:9" x14ac:dyDescent="0.45">
      <c r="A126" t="s">
        <v>592</v>
      </c>
      <c r="B126" s="4" t="s">
        <v>593</v>
      </c>
      <c r="C126" t="s">
        <v>427</v>
      </c>
      <c r="D126" t="s">
        <v>190</v>
      </c>
      <c r="E126">
        <v>0.28000000000000003</v>
      </c>
      <c r="F126" t="s">
        <v>480</v>
      </c>
      <c r="G126" t="s">
        <v>594</v>
      </c>
      <c r="H126" s="4" t="s">
        <v>481</v>
      </c>
      <c r="I126" s="4" t="s">
        <v>595</v>
      </c>
    </row>
    <row r="127" spans="1:9" x14ac:dyDescent="0.45">
      <c r="A127" t="s">
        <v>596</v>
      </c>
      <c r="B127" s="4" t="s">
        <v>597</v>
      </c>
      <c r="C127" t="s">
        <v>589</v>
      </c>
      <c r="D127" t="s">
        <v>190</v>
      </c>
      <c r="E127">
        <v>0.28000000000000003</v>
      </c>
      <c r="F127" t="s">
        <v>590</v>
      </c>
      <c r="G127" t="s">
        <v>368</v>
      </c>
      <c r="H127" s="4" t="s">
        <v>591</v>
      </c>
      <c r="I127" s="4" t="s">
        <v>369</v>
      </c>
    </row>
    <row r="128" spans="1:9" x14ac:dyDescent="0.45">
      <c r="A128" t="s">
        <v>598</v>
      </c>
      <c r="B128" s="4" t="s">
        <v>599</v>
      </c>
      <c r="C128" t="s">
        <v>589</v>
      </c>
      <c r="D128" t="s">
        <v>190</v>
      </c>
      <c r="E128">
        <v>0.28000000000000003</v>
      </c>
      <c r="F128" t="s">
        <v>590</v>
      </c>
      <c r="G128" t="s">
        <v>368</v>
      </c>
      <c r="H128" s="4" t="s">
        <v>591</v>
      </c>
      <c r="I128" s="4" t="s">
        <v>369</v>
      </c>
    </row>
    <row r="129" spans="1:9" x14ac:dyDescent="0.45">
      <c r="A129" t="s">
        <v>600</v>
      </c>
      <c r="B129" s="4" t="s">
        <v>601</v>
      </c>
      <c r="C129" t="s">
        <v>423</v>
      </c>
      <c r="D129" t="s">
        <v>190</v>
      </c>
      <c r="E129">
        <v>0.28000000000000003</v>
      </c>
      <c r="F129" t="s">
        <v>396</v>
      </c>
      <c r="G129" t="s">
        <v>269</v>
      </c>
      <c r="H129" s="4" t="s">
        <v>413</v>
      </c>
      <c r="I129" s="4" t="s">
        <v>271</v>
      </c>
    </row>
    <row r="130" spans="1:9" x14ac:dyDescent="0.45">
      <c r="A130" t="s">
        <v>602</v>
      </c>
      <c r="B130" s="4" t="s">
        <v>603</v>
      </c>
      <c r="C130" t="s">
        <v>415</v>
      </c>
      <c r="D130" t="s">
        <v>206</v>
      </c>
      <c r="E130">
        <v>0.28000000000000003</v>
      </c>
      <c r="F130" t="s">
        <v>332</v>
      </c>
      <c r="G130" t="s">
        <v>604</v>
      </c>
      <c r="H130" s="4" t="s">
        <v>333</v>
      </c>
      <c r="I130" s="4" t="s">
        <v>605</v>
      </c>
    </row>
    <row r="131" spans="1:9" x14ac:dyDescent="0.45">
      <c r="A131" t="s">
        <v>606</v>
      </c>
      <c r="B131" s="4" t="s">
        <v>607</v>
      </c>
      <c r="C131" t="s">
        <v>608</v>
      </c>
      <c r="D131" t="s">
        <v>206</v>
      </c>
      <c r="E131">
        <v>0.28000000000000003</v>
      </c>
      <c r="F131" t="s">
        <v>420</v>
      </c>
      <c r="G131" t="s">
        <v>396</v>
      </c>
      <c r="H131" s="4" t="s">
        <v>421</v>
      </c>
      <c r="I131" s="4" t="s">
        <v>413</v>
      </c>
    </row>
    <row r="132" spans="1:9" x14ac:dyDescent="0.45">
      <c r="A132" t="s">
        <v>609</v>
      </c>
      <c r="B132" s="4" t="s">
        <v>610</v>
      </c>
      <c r="C132" t="s">
        <v>500</v>
      </c>
      <c r="D132" t="s">
        <v>190</v>
      </c>
      <c r="E132">
        <v>0.28000000000000003</v>
      </c>
      <c r="F132" t="s">
        <v>521</v>
      </c>
      <c r="G132" t="s">
        <v>611</v>
      </c>
      <c r="H132" s="4" t="s">
        <v>522</v>
      </c>
      <c r="I132" s="4" t="s">
        <v>612</v>
      </c>
    </row>
    <row r="133" spans="1:9" x14ac:dyDescent="0.45">
      <c r="A133" t="s">
        <v>613</v>
      </c>
      <c r="B133" s="4" t="s">
        <v>614</v>
      </c>
      <c r="C133" t="s">
        <v>416</v>
      </c>
      <c r="D133" t="s">
        <v>190</v>
      </c>
      <c r="E133">
        <v>0.28000000000000003</v>
      </c>
      <c r="F133" t="s">
        <v>567</v>
      </c>
      <c r="G133" t="s">
        <v>615</v>
      </c>
      <c r="H133" s="4" t="s">
        <v>568</v>
      </c>
      <c r="I133" s="4" t="s">
        <v>616</v>
      </c>
    </row>
    <row r="134" spans="1:9" x14ac:dyDescent="0.45">
      <c r="A134" t="s">
        <v>617</v>
      </c>
      <c r="B134" s="4" t="s">
        <v>618</v>
      </c>
      <c r="C134" t="s">
        <v>416</v>
      </c>
      <c r="D134" t="s">
        <v>190</v>
      </c>
      <c r="E134">
        <v>0.28000000000000003</v>
      </c>
      <c r="F134" t="s">
        <v>567</v>
      </c>
      <c r="G134" t="s">
        <v>615</v>
      </c>
      <c r="H134" s="4" t="s">
        <v>568</v>
      </c>
      <c r="I134" s="4" t="s">
        <v>616</v>
      </c>
    </row>
    <row r="135" spans="1:9" x14ac:dyDescent="0.45">
      <c r="A135" t="s">
        <v>620</v>
      </c>
      <c r="B135" s="4" t="s">
        <v>621</v>
      </c>
      <c r="C135" t="s">
        <v>622</v>
      </c>
      <c r="D135" t="s">
        <v>195</v>
      </c>
      <c r="E135">
        <v>0.28000000000000003</v>
      </c>
      <c r="F135" t="s">
        <v>501</v>
      </c>
      <c r="G135" t="s">
        <v>480</v>
      </c>
      <c r="H135" s="4" t="s">
        <v>502</v>
      </c>
      <c r="I135" s="4" t="s">
        <v>481</v>
      </c>
    </row>
    <row r="136" spans="1:9" x14ac:dyDescent="0.45">
      <c r="A136" t="s">
        <v>624</v>
      </c>
      <c r="B136" s="4" t="s">
        <v>625</v>
      </c>
      <c r="C136" t="s">
        <v>626</v>
      </c>
      <c r="D136" t="s">
        <v>190</v>
      </c>
      <c r="E136">
        <v>0.28000000000000003</v>
      </c>
      <c r="F136" t="s">
        <v>627</v>
      </c>
      <c r="G136" t="s">
        <v>628</v>
      </c>
      <c r="H136" s="4" t="s">
        <v>629</v>
      </c>
      <c r="I136" s="4" t="s">
        <v>630</v>
      </c>
    </row>
    <row r="137" spans="1:9" x14ac:dyDescent="0.45">
      <c r="A137" t="s">
        <v>631</v>
      </c>
      <c r="B137" s="4" t="s">
        <v>632</v>
      </c>
      <c r="C137" t="s">
        <v>626</v>
      </c>
      <c r="D137" t="s">
        <v>190</v>
      </c>
      <c r="E137">
        <v>0.28000000000000003</v>
      </c>
      <c r="F137" t="s">
        <v>627</v>
      </c>
      <c r="G137" t="s">
        <v>628</v>
      </c>
      <c r="H137" s="4" t="s">
        <v>629</v>
      </c>
      <c r="I137" s="4" t="s">
        <v>630</v>
      </c>
    </row>
    <row r="138" spans="1:9" x14ac:dyDescent="0.45">
      <c r="A138" t="s">
        <v>633</v>
      </c>
      <c r="B138" s="4" t="s">
        <v>634</v>
      </c>
      <c r="C138" t="s">
        <v>416</v>
      </c>
      <c r="D138" t="s">
        <v>190</v>
      </c>
      <c r="E138">
        <v>0.28000000000000003</v>
      </c>
      <c r="F138" t="s">
        <v>567</v>
      </c>
      <c r="G138" t="s">
        <v>615</v>
      </c>
      <c r="H138" s="4" t="s">
        <v>568</v>
      </c>
      <c r="I138" s="4" t="s">
        <v>616</v>
      </c>
    </row>
    <row r="139" spans="1:9" x14ac:dyDescent="0.45">
      <c r="A139" t="s">
        <v>635</v>
      </c>
      <c r="B139" s="4" t="s">
        <v>636</v>
      </c>
      <c r="C139" t="s">
        <v>520</v>
      </c>
      <c r="D139" t="s">
        <v>190</v>
      </c>
      <c r="E139">
        <v>0.28000000000000003</v>
      </c>
      <c r="F139" t="s">
        <v>392</v>
      </c>
      <c r="G139" t="s">
        <v>480</v>
      </c>
      <c r="H139" s="4" t="s">
        <v>457</v>
      </c>
      <c r="I139" s="4" t="s">
        <v>481</v>
      </c>
    </row>
    <row r="140" spans="1:9" x14ac:dyDescent="0.45">
      <c r="A140" t="s">
        <v>637</v>
      </c>
      <c r="B140" s="4" t="s">
        <v>638</v>
      </c>
      <c r="C140" t="s">
        <v>622</v>
      </c>
      <c r="D140" t="s">
        <v>210</v>
      </c>
      <c r="E140">
        <v>0.28000000000000003</v>
      </c>
      <c r="F140" t="s">
        <v>480</v>
      </c>
      <c r="G140" t="s">
        <v>480</v>
      </c>
      <c r="H140" s="4" t="s">
        <v>481</v>
      </c>
      <c r="I140" s="4" t="s">
        <v>481</v>
      </c>
    </row>
    <row r="141" spans="1:9" x14ac:dyDescent="0.45">
      <c r="A141" t="s">
        <v>910</v>
      </c>
      <c r="B141" s="4" t="s">
        <v>619</v>
      </c>
      <c r="C141" t="s">
        <v>579</v>
      </c>
      <c r="D141" t="s">
        <v>190</v>
      </c>
      <c r="E141">
        <v>0.28000000000000003</v>
      </c>
      <c r="F141" t="s">
        <v>485</v>
      </c>
      <c r="G141" t="s">
        <v>476</v>
      </c>
      <c r="H141" s="4" t="s">
        <v>486</v>
      </c>
      <c r="I141" s="4" t="s">
        <v>162</v>
      </c>
    </row>
    <row r="142" spans="1:9" x14ac:dyDescent="0.45">
      <c r="A142" t="s">
        <v>911</v>
      </c>
      <c r="B142" s="4" t="s">
        <v>623</v>
      </c>
      <c r="C142" t="s">
        <v>234</v>
      </c>
      <c r="D142" t="s">
        <v>190</v>
      </c>
      <c r="E142">
        <v>0.28000000000000003</v>
      </c>
      <c r="F142" t="s">
        <v>467</v>
      </c>
      <c r="G142" t="s">
        <v>567</v>
      </c>
      <c r="H142" s="4" t="s">
        <v>468</v>
      </c>
      <c r="I142" s="4" t="s">
        <v>568</v>
      </c>
    </row>
    <row r="143" spans="1:9" x14ac:dyDescent="0.45">
      <c r="A143" t="s">
        <v>639</v>
      </c>
      <c r="B143" s="4" t="s">
        <v>640</v>
      </c>
      <c r="C143" t="s">
        <v>185</v>
      </c>
      <c r="D143" t="s">
        <v>185</v>
      </c>
      <c r="E143">
        <v>0</v>
      </c>
      <c r="G143" t="s">
        <v>388</v>
      </c>
      <c r="I143" s="4" t="s">
        <v>564</v>
      </c>
    </row>
    <row r="144" spans="1:9" x14ac:dyDescent="0.45">
      <c r="A144" t="s">
        <v>641</v>
      </c>
      <c r="C144" t="s">
        <v>185</v>
      </c>
      <c r="D144" t="s">
        <v>423</v>
      </c>
      <c r="E144">
        <v>8.0299999999999994</v>
      </c>
      <c r="F144" t="s">
        <v>642</v>
      </c>
      <c r="G144" t="s">
        <v>385</v>
      </c>
    </row>
    <row r="145" spans="1:9" x14ac:dyDescent="0.45">
      <c r="A145" t="s">
        <v>643</v>
      </c>
      <c r="C145" t="s">
        <v>608</v>
      </c>
      <c r="D145" t="s">
        <v>331</v>
      </c>
      <c r="E145">
        <v>2.96</v>
      </c>
      <c r="F145" t="s">
        <v>642</v>
      </c>
      <c r="G145" t="s">
        <v>644</v>
      </c>
    </row>
    <row r="146" spans="1:9" x14ac:dyDescent="0.45">
      <c r="A146">
        <v>7335</v>
      </c>
      <c r="B146" s="4" t="s">
        <v>645</v>
      </c>
      <c r="C146" t="s">
        <v>185</v>
      </c>
      <c r="D146" t="s">
        <v>190</v>
      </c>
      <c r="E146">
        <v>0.49</v>
      </c>
      <c r="F146" t="s">
        <v>642</v>
      </c>
      <c r="G146" t="s">
        <v>521</v>
      </c>
      <c r="H146" s="4" t="s">
        <v>646</v>
      </c>
      <c r="I146" s="4" t="s">
        <v>522</v>
      </c>
    </row>
    <row r="147" spans="1:9" x14ac:dyDescent="0.45">
      <c r="A147">
        <v>7336</v>
      </c>
      <c r="B147" s="4" t="s">
        <v>647</v>
      </c>
      <c r="C147" t="s">
        <v>185</v>
      </c>
      <c r="D147" t="s">
        <v>190</v>
      </c>
      <c r="E147">
        <v>0.49</v>
      </c>
      <c r="F147" t="s">
        <v>521</v>
      </c>
      <c r="G147" t="s">
        <v>467</v>
      </c>
      <c r="H147" s="4" t="s">
        <v>522</v>
      </c>
      <c r="I147" s="4" t="s">
        <v>468</v>
      </c>
    </row>
    <row r="148" spans="1:9" x14ac:dyDescent="0.45">
      <c r="A148">
        <v>7339</v>
      </c>
      <c r="B148" s="4" t="s">
        <v>648</v>
      </c>
      <c r="C148" t="s">
        <v>466</v>
      </c>
      <c r="D148" t="s">
        <v>195</v>
      </c>
      <c r="E148">
        <v>0.49</v>
      </c>
      <c r="F148" t="s">
        <v>467</v>
      </c>
      <c r="G148" t="s">
        <v>644</v>
      </c>
      <c r="H148" s="4" t="s">
        <v>468</v>
      </c>
      <c r="I148" s="4" t="s">
        <v>649</v>
      </c>
    </row>
    <row r="149" spans="1:9" x14ac:dyDescent="0.45">
      <c r="A149">
        <v>7340</v>
      </c>
      <c r="B149" s="4" t="s">
        <v>650</v>
      </c>
      <c r="C149" t="s">
        <v>466</v>
      </c>
      <c r="D149" t="s">
        <v>195</v>
      </c>
      <c r="E149">
        <v>0.49</v>
      </c>
      <c r="F149" t="s">
        <v>467</v>
      </c>
      <c r="G149" t="s">
        <v>644</v>
      </c>
      <c r="H149" s="4" t="s">
        <v>468</v>
      </c>
      <c r="I149" s="4" t="s">
        <v>649</v>
      </c>
    </row>
    <row r="150" spans="1:9" x14ac:dyDescent="0.45">
      <c r="A150">
        <v>7353</v>
      </c>
      <c r="B150" s="4" t="s">
        <v>651</v>
      </c>
      <c r="C150" t="s">
        <v>185</v>
      </c>
      <c r="D150" t="s">
        <v>190</v>
      </c>
      <c r="E150">
        <v>0.49</v>
      </c>
      <c r="F150" t="s">
        <v>642</v>
      </c>
      <c r="G150" t="s">
        <v>521</v>
      </c>
      <c r="H150" s="4" t="s">
        <v>646</v>
      </c>
      <c r="I150" s="4" t="s">
        <v>522</v>
      </c>
    </row>
    <row r="151" spans="1:9" x14ac:dyDescent="0.45">
      <c r="A151">
        <v>7354</v>
      </c>
      <c r="B151" s="4" t="s">
        <v>652</v>
      </c>
      <c r="C151" t="s">
        <v>185</v>
      </c>
      <c r="D151" t="s">
        <v>190</v>
      </c>
      <c r="E151">
        <v>0.49</v>
      </c>
      <c r="F151" t="s">
        <v>521</v>
      </c>
      <c r="G151" t="s">
        <v>467</v>
      </c>
      <c r="H151" s="4" t="s">
        <v>522</v>
      </c>
      <c r="I151" s="4" t="s">
        <v>468</v>
      </c>
    </row>
    <row r="152" spans="1:9" x14ac:dyDescent="0.45">
      <c r="A152">
        <v>7364</v>
      </c>
      <c r="B152" s="4" t="s">
        <v>653</v>
      </c>
      <c r="C152" t="s">
        <v>608</v>
      </c>
      <c r="D152" t="s">
        <v>185</v>
      </c>
      <c r="E152">
        <v>0</v>
      </c>
      <c r="G152" t="s">
        <v>644</v>
      </c>
      <c r="I152" s="4" t="s">
        <v>649</v>
      </c>
    </row>
    <row r="153" spans="1:9" x14ac:dyDescent="0.45">
      <c r="A153" t="s">
        <v>654</v>
      </c>
      <c r="C153" t="s">
        <v>195</v>
      </c>
      <c r="D153" t="s">
        <v>622</v>
      </c>
      <c r="E153">
        <v>3.38</v>
      </c>
      <c r="F153" t="s">
        <v>655</v>
      </c>
      <c r="G153" t="s">
        <v>656</v>
      </c>
    </row>
    <row r="154" spans="1:9" x14ac:dyDescent="0.45">
      <c r="A154" t="s">
        <v>657</v>
      </c>
      <c r="B154" s="4" t="s">
        <v>658</v>
      </c>
      <c r="C154" t="s">
        <v>185</v>
      </c>
      <c r="D154" t="s">
        <v>659</v>
      </c>
      <c r="E154">
        <v>0.56000000000000005</v>
      </c>
      <c r="F154" t="s">
        <v>660</v>
      </c>
      <c r="G154" t="s">
        <v>656</v>
      </c>
      <c r="H154" s="4" t="s">
        <v>661</v>
      </c>
      <c r="I154" s="4" t="s">
        <v>662</v>
      </c>
    </row>
    <row r="155" spans="1:9" x14ac:dyDescent="0.45">
      <c r="A155" t="s">
        <v>663</v>
      </c>
      <c r="B155" s="4" t="s">
        <v>664</v>
      </c>
      <c r="C155" t="s">
        <v>185</v>
      </c>
      <c r="D155" t="s">
        <v>659</v>
      </c>
      <c r="E155">
        <v>0.56000000000000005</v>
      </c>
      <c r="F155" t="s">
        <v>660</v>
      </c>
      <c r="G155" t="s">
        <v>656</v>
      </c>
      <c r="H155" s="4" t="s">
        <v>661</v>
      </c>
      <c r="I155" s="4" t="s">
        <v>662</v>
      </c>
    </row>
    <row r="156" spans="1:9" x14ac:dyDescent="0.45">
      <c r="A156" t="s">
        <v>665</v>
      </c>
      <c r="B156" s="4" t="s">
        <v>666</v>
      </c>
      <c r="C156" t="s">
        <v>466</v>
      </c>
      <c r="D156" t="s">
        <v>667</v>
      </c>
      <c r="E156">
        <v>0.56000000000000005</v>
      </c>
      <c r="F156" t="s">
        <v>655</v>
      </c>
      <c r="G156" t="s">
        <v>668</v>
      </c>
      <c r="H156" s="4" t="s">
        <v>669</v>
      </c>
      <c r="I156" s="4" t="s">
        <v>670</v>
      </c>
    </row>
    <row r="157" spans="1:9" x14ac:dyDescent="0.45">
      <c r="A157" t="s">
        <v>671</v>
      </c>
      <c r="B157" s="4" t="s">
        <v>672</v>
      </c>
      <c r="C157" t="s">
        <v>466</v>
      </c>
      <c r="D157" t="s">
        <v>667</v>
      </c>
      <c r="E157">
        <v>0.56000000000000005</v>
      </c>
      <c r="F157" t="s">
        <v>655</v>
      </c>
      <c r="G157" t="s">
        <v>668</v>
      </c>
      <c r="H157" s="4" t="s">
        <v>669</v>
      </c>
      <c r="I157" s="4" t="s">
        <v>670</v>
      </c>
    </row>
    <row r="158" spans="1:9" x14ac:dyDescent="0.45">
      <c r="A158" t="s">
        <v>673</v>
      </c>
      <c r="B158" s="4" t="s">
        <v>674</v>
      </c>
      <c r="C158" t="s">
        <v>185</v>
      </c>
      <c r="D158" t="s">
        <v>659</v>
      </c>
      <c r="E158">
        <v>0.56000000000000005</v>
      </c>
      <c r="F158" t="s">
        <v>660</v>
      </c>
      <c r="G158" t="s">
        <v>656</v>
      </c>
      <c r="H158" s="4" t="s">
        <v>661</v>
      </c>
      <c r="I158" s="4" t="s">
        <v>662</v>
      </c>
    </row>
    <row r="159" spans="1:9" x14ac:dyDescent="0.45">
      <c r="A159" t="s">
        <v>675</v>
      </c>
      <c r="B159" s="4" t="s">
        <v>676</v>
      </c>
      <c r="C159" t="s">
        <v>185</v>
      </c>
      <c r="D159" t="s">
        <v>659</v>
      </c>
      <c r="E159">
        <v>0.56000000000000005</v>
      </c>
      <c r="F159" t="s">
        <v>660</v>
      </c>
      <c r="G159" t="s">
        <v>656</v>
      </c>
      <c r="H159" s="4" t="s">
        <v>661</v>
      </c>
      <c r="I159" s="4" t="s">
        <v>662</v>
      </c>
    </row>
    <row r="160" spans="1:9" x14ac:dyDescent="0.45">
      <c r="A160" t="s">
        <v>677</v>
      </c>
      <c r="B160" s="4" t="s">
        <v>52</v>
      </c>
      <c r="C160" t="s">
        <v>195</v>
      </c>
      <c r="D160" t="s">
        <v>185</v>
      </c>
      <c r="E160">
        <v>0</v>
      </c>
      <c r="G160" t="s">
        <v>656</v>
      </c>
      <c r="I160" s="4" t="s">
        <v>662</v>
      </c>
    </row>
    <row r="161" spans="1:9" x14ac:dyDescent="0.45">
      <c r="A161" t="s">
        <v>678</v>
      </c>
      <c r="C161" t="s">
        <v>185</v>
      </c>
      <c r="D161" t="s">
        <v>484</v>
      </c>
      <c r="E161">
        <v>1.69</v>
      </c>
      <c r="F161" t="s">
        <v>668</v>
      </c>
      <c r="G161" t="s">
        <v>385</v>
      </c>
    </row>
    <row r="162" spans="1:9" x14ac:dyDescent="0.45">
      <c r="A162" t="s">
        <v>679</v>
      </c>
      <c r="B162" s="4" t="s">
        <v>680</v>
      </c>
      <c r="C162" t="s">
        <v>185</v>
      </c>
      <c r="D162" t="s">
        <v>195</v>
      </c>
      <c r="E162">
        <v>0.28000000000000003</v>
      </c>
      <c r="F162" t="s">
        <v>656</v>
      </c>
      <c r="G162" t="s">
        <v>385</v>
      </c>
      <c r="H162" s="4" t="s">
        <v>662</v>
      </c>
      <c r="I162" s="4" t="s">
        <v>681</v>
      </c>
    </row>
    <row r="163" spans="1:9" x14ac:dyDescent="0.45">
      <c r="A163" t="s">
        <v>682</v>
      </c>
      <c r="B163" s="4" t="s">
        <v>683</v>
      </c>
      <c r="C163" t="s">
        <v>185</v>
      </c>
      <c r="D163" t="s">
        <v>195</v>
      </c>
      <c r="E163">
        <v>0.28000000000000003</v>
      </c>
      <c r="F163" t="s">
        <v>656</v>
      </c>
      <c r="G163" t="s">
        <v>385</v>
      </c>
      <c r="H163" s="4" t="s">
        <v>662</v>
      </c>
      <c r="I163" s="4" t="s">
        <v>681</v>
      </c>
    </row>
    <row r="164" spans="1:9" x14ac:dyDescent="0.45">
      <c r="A164" t="s">
        <v>684</v>
      </c>
      <c r="B164" s="4" t="s">
        <v>685</v>
      </c>
      <c r="C164" t="s">
        <v>475</v>
      </c>
      <c r="D164" t="s">
        <v>210</v>
      </c>
      <c r="E164">
        <v>0.28000000000000003</v>
      </c>
      <c r="F164" t="s">
        <v>668</v>
      </c>
      <c r="G164" t="s">
        <v>686</v>
      </c>
      <c r="H164" s="4" t="s">
        <v>670</v>
      </c>
      <c r="I164" s="4" t="s">
        <v>687</v>
      </c>
    </row>
    <row r="165" spans="1:9" x14ac:dyDescent="0.45">
      <c r="A165" t="s">
        <v>688</v>
      </c>
      <c r="B165" s="4" t="s">
        <v>689</v>
      </c>
      <c r="C165" t="s">
        <v>475</v>
      </c>
      <c r="D165" t="s">
        <v>210</v>
      </c>
      <c r="E165">
        <v>0.28000000000000003</v>
      </c>
      <c r="F165" t="s">
        <v>668</v>
      </c>
      <c r="G165" t="s">
        <v>686</v>
      </c>
      <c r="H165" s="4" t="s">
        <v>670</v>
      </c>
      <c r="I165" s="4" t="s">
        <v>687</v>
      </c>
    </row>
    <row r="166" spans="1:9" x14ac:dyDescent="0.45">
      <c r="A166" t="s">
        <v>690</v>
      </c>
      <c r="B166" s="4" t="s">
        <v>691</v>
      </c>
      <c r="C166" t="s">
        <v>185</v>
      </c>
      <c r="D166" t="s">
        <v>195</v>
      </c>
      <c r="E166">
        <v>0.28000000000000003</v>
      </c>
      <c r="F166" t="s">
        <v>656</v>
      </c>
      <c r="G166" t="s">
        <v>385</v>
      </c>
      <c r="H166" s="4" t="s">
        <v>662</v>
      </c>
      <c r="I166" s="4" t="s">
        <v>681</v>
      </c>
    </row>
    <row r="167" spans="1:9" x14ac:dyDescent="0.45">
      <c r="A167" t="s">
        <v>692</v>
      </c>
      <c r="B167" s="4" t="s">
        <v>693</v>
      </c>
      <c r="C167" t="s">
        <v>185</v>
      </c>
      <c r="D167" t="s">
        <v>195</v>
      </c>
      <c r="E167">
        <v>0.28000000000000003</v>
      </c>
      <c r="F167" t="s">
        <v>656</v>
      </c>
      <c r="G167" t="s">
        <v>385</v>
      </c>
      <c r="H167" s="4" t="s">
        <v>662</v>
      </c>
      <c r="I167" s="4" t="s">
        <v>681</v>
      </c>
    </row>
    <row r="168" spans="1:9" x14ac:dyDescent="0.45">
      <c r="A168" t="s">
        <v>694</v>
      </c>
      <c r="B168" s="4" t="s">
        <v>695</v>
      </c>
      <c r="C168" t="s">
        <v>185</v>
      </c>
      <c r="D168" t="s">
        <v>185</v>
      </c>
      <c r="E168">
        <v>0</v>
      </c>
      <c r="G168" t="s">
        <v>385</v>
      </c>
      <c r="I168" s="4" t="s">
        <v>681</v>
      </c>
    </row>
    <row r="169" spans="1:9" x14ac:dyDescent="0.45">
      <c r="A169" t="s">
        <v>696</v>
      </c>
      <c r="C169" t="s">
        <v>438</v>
      </c>
      <c r="D169" t="s">
        <v>697</v>
      </c>
      <c r="E169">
        <v>32.26</v>
      </c>
      <c r="F169" t="s">
        <v>312</v>
      </c>
      <c r="G169" t="s">
        <v>698</v>
      </c>
    </row>
    <row r="170" spans="1:9" x14ac:dyDescent="0.45">
      <c r="A170" t="s">
        <v>699</v>
      </c>
      <c r="C170" t="s">
        <v>321</v>
      </c>
      <c r="D170" t="s">
        <v>191</v>
      </c>
      <c r="E170">
        <v>10.85</v>
      </c>
      <c r="F170" t="s">
        <v>312</v>
      </c>
      <c r="G170" t="s">
        <v>700</v>
      </c>
    </row>
    <row r="171" spans="1:9" x14ac:dyDescent="0.45">
      <c r="A171">
        <v>7327</v>
      </c>
      <c r="B171" s="4" t="s">
        <v>701</v>
      </c>
      <c r="C171" t="s">
        <v>206</v>
      </c>
      <c r="D171" t="s">
        <v>190</v>
      </c>
      <c r="E171">
        <v>0.49</v>
      </c>
      <c r="F171" t="s">
        <v>702</v>
      </c>
      <c r="G171" t="s">
        <v>703</v>
      </c>
      <c r="H171" s="4" t="s">
        <v>704</v>
      </c>
      <c r="I171" s="4" t="s">
        <v>705</v>
      </c>
    </row>
    <row r="172" spans="1:9" x14ac:dyDescent="0.45">
      <c r="A172">
        <v>7328</v>
      </c>
      <c r="B172" s="4" t="s">
        <v>706</v>
      </c>
      <c r="C172" t="s">
        <v>359</v>
      </c>
      <c r="D172" t="s">
        <v>190</v>
      </c>
      <c r="E172">
        <v>0.49</v>
      </c>
      <c r="F172" t="s">
        <v>707</v>
      </c>
      <c r="G172" t="s">
        <v>686</v>
      </c>
      <c r="H172" s="4" t="s">
        <v>708</v>
      </c>
      <c r="I172" s="4" t="s">
        <v>687</v>
      </c>
    </row>
    <row r="173" spans="1:9" x14ac:dyDescent="0.45">
      <c r="A173">
        <v>7329</v>
      </c>
      <c r="B173" s="4" t="s">
        <v>709</v>
      </c>
      <c r="C173" t="s">
        <v>206</v>
      </c>
      <c r="D173" t="s">
        <v>190</v>
      </c>
      <c r="E173">
        <v>0.49</v>
      </c>
      <c r="F173" t="s">
        <v>710</v>
      </c>
      <c r="G173" t="s">
        <v>270</v>
      </c>
      <c r="H173" s="4" t="s">
        <v>711</v>
      </c>
      <c r="I173" s="4" t="s">
        <v>272</v>
      </c>
    </row>
    <row r="174" spans="1:9" x14ac:dyDescent="0.45">
      <c r="A174">
        <v>7330</v>
      </c>
      <c r="B174" s="4" t="s">
        <v>712</v>
      </c>
      <c r="C174" t="s">
        <v>206</v>
      </c>
      <c r="D174" t="s">
        <v>206</v>
      </c>
      <c r="E174">
        <v>0.49</v>
      </c>
      <c r="F174" t="s">
        <v>521</v>
      </c>
      <c r="G174" t="s">
        <v>644</v>
      </c>
      <c r="H174" s="4" t="s">
        <v>522</v>
      </c>
      <c r="I174" s="4" t="s">
        <v>649</v>
      </c>
    </row>
    <row r="175" spans="1:9" x14ac:dyDescent="0.45">
      <c r="A175">
        <v>7331</v>
      </c>
      <c r="B175" s="4" t="s">
        <v>713</v>
      </c>
      <c r="C175" t="s">
        <v>206</v>
      </c>
      <c r="D175" t="s">
        <v>206</v>
      </c>
      <c r="E175">
        <v>0.49</v>
      </c>
      <c r="F175" t="s">
        <v>270</v>
      </c>
      <c r="G175" t="s">
        <v>714</v>
      </c>
      <c r="H175" s="4" t="s">
        <v>272</v>
      </c>
      <c r="I175" s="4" t="s">
        <v>715</v>
      </c>
    </row>
    <row r="176" spans="1:9" x14ac:dyDescent="0.45">
      <c r="A176">
        <v>7332</v>
      </c>
      <c r="B176" s="4" t="s">
        <v>716</v>
      </c>
      <c r="C176" t="s">
        <v>254</v>
      </c>
      <c r="D176" t="s">
        <v>301</v>
      </c>
      <c r="E176">
        <v>0.49</v>
      </c>
      <c r="F176" t="s">
        <v>392</v>
      </c>
      <c r="G176" t="s">
        <v>480</v>
      </c>
      <c r="H176" s="4" t="s">
        <v>457</v>
      </c>
      <c r="I176" s="4" t="s">
        <v>481</v>
      </c>
    </row>
    <row r="177" spans="1:9" x14ac:dyDescent="0.45">
      <c r="A177">
        <v>7333</v>
      </c>
      <c r="B177" s="4" t="s">
        <v>717</v>
      </c>
      <c r="C177" t="s">
        <v>206</v>
      </c>
      <c r="D177" t="s">
        <v>438</v>
      </c>
      <c r="E177">
        <v>0.49</v>
      </c>
      <c r="F177" t="s">
        <v>707</v>
      </c>
      <c r="G177" t="s">
        <v>562</v>
      </c>
      <c r="H177" s="4" t="s">
        <v>708</v>
      </c>
      <c r="I177" s="4" t="s">
        <v>563</v>
      </c>
    </row>
    <row r="178" spans="1:9" x14ac:dyDescent="0.45">
      <c r="A178">
        <v>7334</v>
      </c>
      <c r="B178" s="4" t="s">
        <v>718</v>
      </c>
      <c r="C178" t="s">
        <v>206</v>
      </c>
      <c r="D178" t="s">
        <v>301</v>
      </c>
      <c r="E178">
        <v>0.49</v>
      </c>
      <c r="F178" t="s">
        <v>719</v>
      </c>
      <c r="G178" t="s">
        <v>702</v>
      </c>
      <c r="H178" s="4" t="s">
        <v>720</v>
      </c>
      <c r="I178" s="4" t="s">
        <v>704</v>
      </c>
    </row>
    <row r="179" spans="1:9" x14ac:dyDescent="0.45">
      <c r="A179">
        <v>7342</v>
      </c>
      <c r="B179" s="4" t="s">
        <v>721</v>
      </c>
      <c r="C179" t="s">
        <v>206</v>
      </c>
      <c r="D179" t="s">
        <v>190</v>
      </c>
      <c r="E179">
        <v>0.49</v>
      </c>
      <c r="F179" t="s">
        <v>644</v>
      </c>
      <c r="G179" t="s">
        <v>535</v>
      </c>
      <c r="H179" s="4" t="s">
        <v>649</v>
      </c>
      <c r="I179" s="4" t="s">
        <v>536</v>
      </c>
    </row>
    <row r="180" spans="1:9" x14ac:dyDescent="0.45">
      <c r="A180">
        <v>7343</v>
      </c>
      <c r="B180" s="4" t="s">
        <v>722</v>
      </c>
      <c r="C180" t="s">
        <v>206</v>
      </c>
      <c r="D180" t="s">
        <v>190</v>
      </c>
      <c r="E180">
        <v>0.49</v>
      </c>
      <c r="F180" t="s">
        <v>476</v>
      </c>
      <c r="G180" t="s">
        <v>521</v>
      </c>
      <c r="H180" s="4" t="s">
        <v>162</v>
      </c>
      <c r="I180" s="4" t="s">
        <v>522</v>
      </c>
    </row>
    <row r="181" spans="1:9" x14ac:dyDescent="0.45">
      <c r="A181">
        <v>7344</v>
      </c>
      <c r="B181" s="4" t="s">
        <v>723</v>
      </c>
      <c r="C181" t="s">
        <v>438</v>
      </c>
      <c r="D181" t="s">
        <v>438</v>
      </c>
      <c r="E181">
        <v>0.49</v>
      </c>
      <c r="F181" t="s">
        <v>707</v>
      </c>
      <c r="G181" t="s">
        <v>562</v>
      </c>
      <c r="H181" s="4" t="s">
        <v>708</v>
      </c>
      <c r="I181" s="4" t="s">
        <v>563</v>
      </c>
    </row>
    <row r="182" spans="1:9" x14ac:dyDescent="0.45">
      <c r="A182">
        <v>7345</v>
      </c>
      <c r="B182" s="4" t="s">
        <v>724</v>
      </c>
      <c r="C182" t="s">
        <v>206</v>
      </c>
      <c r="D182" t="s">
        <v>438</v>
      </c>
      <c r="E182">
        <v>0.49</v>
      </c>
      <c r="F182" t="s">
        <v>535</v>
      </c>
      <c r="G182" t="s">
        <v>719</v>
      </c>
      <c r="H182" s="4" t="s">
        <v>536</v>
      </c>
      <c r="I182" s="4" t="s">
        <v>720</v>
      </c>
    </row>
    <row r="183" spans="1:9" x14ac:dyDescent="0.45">
      <c r="A183">
        <v>7346</v>
      </c>
      <c r="B183" s="4" t="s">
        <v>725</v>
      </c>
      <c r="C183" t="s">
        <v>206</v>
      </c>
      <c r="D183" t="s">
        <v>301</v>
      </c>
      <c r="E183">
        <v>0.49</v>
      </c>
      <c r="F183" t="s">
        <v>594</v>
      </c>
      <c r="G183" t="s">
        <v>476</v>
      </c>
      <c r="H183" s="4" t="s">
        <v>595</v>
      </c>
      <c r="I183" s="4" t="s">
        <v>162</v>
      </c>
    </row>
    <row r="184" spans="1:9" x14ac:dyDescent="0.45">
      <c r="A184">
        <v>7347</v>
      </c>
      <c r="B184" s="4" t="s">
        <v>726</v>
      </c>
      <c r="C184" t="s">
        <v>206</v>
      </c>
      <c r="D184" t="s">
        <v>301</v>
      </c>
      <c r="E184">
        <v>0.49</v>
      </c>
      <c r="F184" t="s">
        <v>714</v>
      </c>
      <c r="G184" t="s">
        <v>707</v>
      </c>
      <c r="H184" s="4" t="s">
        <v>715</v>
      </c>
      <c r="I184" s="4" t="s">
        <v>708</v>
      </c>
    </row>
    <row r="185" spans="1:9" x14ac:dyDescent="0.45">
      <c r="A185">
        <v>7348</v>
      </c>
      <c r="B185" s="4" t="s">
        <v>727</v>
      </c>
      <c r="C185" t="s">
        <v>206</v>
      </c>
      <c r="D185" t="s">
        <v>301</v>
      </c>
      <c r="E185">
        <v>0.49</v>
      </c>
      <c r="F185" t="s">
        <v>714</v>
      </c>
      <c r="G185" t="s">
        <v>707</v>
      </c>
      <c r="H185" s="4" t="s">
        <v>715</v>
      </c>
      <c r="I185" s="4" t="s">
        <v>708</v>
      </c>
    </row>
    <row r="186" spans="1:9" x14ac:dyDescent="0.45">
      <c r="A186">
        <v>7350</v>
      </c>
      <c r="B186" s="4" t="s">
        <v>728</v>
      </c>
      <c r="C186" t="s">
        <v>206</v>
      </c>
      <c r="D186" t="s">
        <v>438</v>
      </c>
      <c r="E186">
        <v>0.49</v>
      </c>
      <c r="F186" t="s">
        <v>392</v>
      </c>
      <c r="G186" t="s">
        <v>594</v>
      </c>
      <c r="H186" s="4" t="s">
        <v>457</v>
      </c>
      <c r="I186" s="4" t="s">
        <v>595</v>
      </c>
    </row>
    <row r="187" spans="1:9" x14ac:dyDescent="0.45">
      <c r="A187">
        <v>7351</v>
      </c>
      <c r="B187" s="4" t="s">
        <v>729</v>
      </c>
      <c r="C187" t="s">
        <v>185</v>
      </c>
      <c r="D187" t="s">
        <v>301</v>
      </c>
      <c r="E187">
        <v>0.49</v>
      </c>
      <c r="F187" t="s">
        <v>392</v>
      </c>
      <c r="G187" t="s">
        <v>480</v>
      </c>
      <c r="H187" s="4" t="s">
        <v>457</v>
      </c>
      <c r="I187" s="4" t="s">
        <v>481</v>
      </c>
    </row>
    <row r="188" spans="1:9" x14ac:dyDescent="0.45">
      <c r="A188">
        <v>7352</v>
      </c>
      <c r="B188" s="4" t="s">
        <v>730</v>
      </c>
      <c r="C188" t="s">
        <v>438</v>
      </c>
      <c r="D188" t="s">
        <v>301</v>
      </c>
      <c r="E188">
        <v>0.49</v>
      </c>
      <c r="F188" t="s">
        <v>562</v>
      </c>
      <c r="G188" t="s">
        <v>700</v>
      </c>
      <c r="H188" s="4" t="s">
        <v>563</v>
      </c>
      <c r="I188" s="4" t="s">
        <v>731</v>
      </c>
    </row>
    <row r="189" spans="1:9" x14ac:dyDescent="0.45">
      <c r="A189">
        <v>7356</v>
      </c>
      <c r="B189" s="4" t="s">
        <v>732</v>
      </c>
      <c r="C189" t="s">
        <v>206</v>
      </c>
      <c r="D189" t="s">
        <v>190</v>
      </c>
      <c r="E189">
        <v>0.49</v>
      </c>
      <c r="F189" t="s">
        <v>703</v>
      </c>
      <c r="G189" t="s">
        <v>710</v>
      </c>
      <c r="H189" s="4" t="s">
        <v>705</v>
      </c>
      <c r="I189" s="4" t="s">
        <v>711</v>
      </c>
    </row>
    <row r="190" spans="1:9" x14ac:dyDescent="0.45">
      <c r="A190">
        <v>7454</v>
      </c>
      <c r="B190" s="4" t="s">
        <v>733</v>
      </c>
      <c r="C190" t="s">
        <v>185</v>
      </c>
      <c r="D190" t="s">
        <v>438</v>
      </c>
      <c r="E190">
        <v>0.49</v>
      </c>
      <c r="F190" t="s">
        <v>480</v>
      </c>
      <c r="G190" t="s">
        <v>642</v>
      </c>
      <c r="H190" s="4" t="s">
        <v>481</v>
      </c>
      <c r="I190" s="4" t="s">
        <v>646</v>
      </c>
    </row>
    <row r="191" spans="1:9" x14ac:dyDescent="0.45">
      <c r="A191">
        <v>7455</v>
      </c>
      <c r="B191" s="4" t="s">
        <v>734</v>
      </c>
      <c r="C191" t="s">
        <v>185</v>
      </c>
      <c r="D191" t="s">
        <v>438</v>
      </c>
      <c r="E191">
        <v>0.49</v>
      </c>
      <c r="F191" t="s">
        <v>480</v>
      </c>
      <c r="G191" t="s">
        <v>642</v>
      </c>
      <c r="H191" s="4" t="s">
        <v>481</v>
      </c>
      <c r="I191" s="4" t="s">
        <v>646</v>
      </c>
    </row>
    <row r="192" spans="1:9" x14ac:dyDescent="0.45">
      <c r="A192">
        <v>7456</v>
      </c>
      <c r="B192" s="4" t="s">
        <v>735</v>
      </c>
      <c r="C192" t="s">
        <v>736</v>
      </c>
      <c r="D192" t="s">
        <v>438</v>
      </c>
      <c r="E192">
        <v>0.49</v>
      </c>
      <c r="F192" t="s">
        <v>312</v>
      </c>
      <c r="G192" t="s">
        <v>407</v>
      </c>
      <c r="H192" s="4" t="s">
        <v>314</v>
      </c>
      <c r="I192" s="4" t="s">
        <v>408</v>
      </c>
    </row>
    <row r="193" spans="1:9" x14ac:dyDescent="0.45">
      <c r="A193" t="s">
        <v>737</v>
      </c>
      <c r="B193" s="4" t="s">
        <v>738</v>
      </c>
      <c r="C193" t="s">
        <v>321</v>
      </c>
      <c r="D193" t="s">
        <v>185</v>
      </c>
      <c r="E193">
        <v>0</v>
      </c>
      <c r="G193" t="s">
        <v>700</v>
      </c>
      <c r="I193" s="4" t="s">
        <v>731</v>
      </c>
    </row>
    <row r="194" spans="1:9" x14ac:dyDescent="0.45">
      <c r="A194" t="s">
        <v>739</v>
      </c>
      <c r="C194" t="s">
        <v>254</v>
      </c>
      <c r="D194" t="s">
        <v>740</v>
      </c>
      <c r="E194">
        <v>15.78</v>
      </c>
      <c r="F194" t="s">
        <v>407</v>
      </c>
      <c r="G194" t="s">
        <v>741</v>
      </c>
    </row>
    <row r="195" spans="1:9" x14ac:dyDescent="0.45">
      <c r="A195" t="s">
        <v>742</v>
      </c>
      <c r="B195" s="4" t="s">
        <v>743</v>
      </c>
      <c r="C195" t="s">
        <v>279</v>
      </c>
      <c r="D195" t="s">
        <v>479</v>
      </c>
      <c r="E195">
        <v>0.56000000000000005</v>
      </c>
      <c r="F195" t="s">
        <v>703</v>
      </c>
      <c r="G195" t="s">
        <v>744</v>
      </c>
      <c r="H195" s="4" t="s">
        <v>705</v>
      </c>
      <c r="I195" s="4" t="s">
        <v>745</v>
      </c>
    </row>
    <row r="196" spans="1:9" x14ac:dyDescent="0.45">
      <c r="A196" t="s">
        <v>746</v>
      </c>
      <c r="B196" s="4" t="s">
        <v>747</v>
      </c>
      <c r="C196" t="s">
        <v>748</v>
      </c>
      <c r="D196" t="s">
        <v>220</v>
      </c>
      <c r="E196">
        <v>0.56000000000000005</v>
      </c>
      <c r="F196" t="s">
        <v>686</v>
      </c>
      <c r="G196" t="s">
        <v>749</v>
      </c>
      <c r="H196" s="4" t="s">
        <v>687</v>
      </c>
      <c r="I196" s="4" t="s">
        <v>750</v>
      </c>
    </row>
    <row r="197" spans="1:9" x14ac:dyDescent="0.45">
      <c r="A197" t="s">
        <v>751</v>
      </c>
      <c r="B197" s="4" t="s">
        <v>752</v>
      </c>
      <c r="C197" t="s">
        <v>310</v>
      </c>
      <c r="D197" t="s">
        <v>479</v>
      </c>
      <c r="E197">
        <v>0.56000000000000005</v>
      </c>
      <c r="F197" t="s">
        <v>270</v>
      </c>
      <c r="G197" t="s">
        <v>700</v>
      </c>
      <c r="H197" s="4" t="s">
        <v>272</v>
      </c>
      <c r="I197" s="4" t="s">
        <v>731</v>
      </c>
    </row>
    <row r="198" spans="1:9" x14ac:dyDescent="0.45">
      <c r="A198" t="s">
        <v>753</v>
      </c>
      <c r="B198" s="4" t="s">
        <v>754</v>
      </c>
      <c r="C198" t="s">
        <v>520</v>
      </c>
      <c r="D198" t="s">
        <v>261</v>
      </c>
      <c r="E198">
        <v>0.56000000000000005</v>
      </c>
      <c r="F198" t="s">
        <v>644</v>
      </c>
      <c r="G198" t="s">
        <v>660</v>
      </c>
      <c r="H198" s="4" t="s">
        <v>649</v>
      </c>
      <c r="I198" s="4" t="s">
        <v>661</v>
      </c>
    </row>
    <row r="199" spans="1:9" x14ac:dyDescent="0.45">
      <c r="A199" t="s">
        <v>755</v>
      </c>
      <c r="B199" s="4" t="s">
        <v>756</v>
      </c>
      <c r="C199" t="s">
        <v>206</v>
      </c>
      <c r="D199" t="s">
        <v>261</v>
      </c>
      <c r="E199">
        <v>0.56000000000000005</v>
      </c>
      <c r="F199" t="s">
        <v>562</v>
      </c>
      <c r="G199" t="s">
        <v>741</v>
      </c>
      <c r="H199" s="4" t="s">
        <v>563</v>
      </c>
      <c r="I199" s="4" t="s">
        <v>757</v>
      </c>
    </row>
    <row r="200" spans="1:9" x14ac:dyDescent="0.45">
      <c r="A200" t="s">
        <v>758</v>
      </c>
      <c r="B200" s="4" t="s">
        <v>759</v>
      </c>
      <c r="C200" t="s">
        <v>760</v>
      </c>
      <c r="D200" t="s">
        <v>479</v>
      </c>
      <c r="E200">
        <v>0.56000000000000005</v>
      </c>
      <c r="F200" t="s">
        <v>480</v>
      </c>
      <c r="G200" t="s">
        <v>628</v>
      </c>
      <c r="H200" s="4" t="s">
        <v>481</v>
      </c>
      <c r="I200" s="4" t="s">
        <v>630</v>
      </c>
    </row>
    <row r="201" spans="1:9" x14ac:dyDescent="0.45">
      <c r="A201" t="s">
        <v>761</v>
      </c>
      <c r="B201" s="4" t="s">
        <v>762</v>
      </c>
      <c r="C201" t="s">
        <v>220</v>
      </c>
      <c r="D201" t="s">
        <v>220</v>
      </c>
      <c r="E201">
        <v>0.56000000000000005</v>
      </c>
      <c r="F201" t="s">
        <v>562</v>
      </c>
      <c r="G201" t="s">
        <v>763</v>
      </c>
      <c r="H201" s="4" t="s">
        <v>563</v>
      </c>
      <c r="I201" s="4" t="s">
        <v>764</v>
      </c>
    </row>
    <row r="202" spans="1:9" x14ac:dyDescent="0.45">
      <c r="A202" t="s">
        <v>765</v>
      </c>
      <c r="B202" s="4" t="s">
        <v>766</v>
      </c>
      <c r="C202" t="s">
        <v>490</v>
      </c>
      <c r="D202" t="s">
        <v>261</v>
      </c>
      <c r="E202">
        <v>0.56000000000000005</v>
      </c>
      <c r="F202" t="s">
        <v>702</v>
      </c>
      <c r="G202" t="s">
        <v>714</v>
      </c>
      <c r="H202" s="4" t="s">
        <v>704</v>
      </c>
      <c r="I202" s="4" t="s">
        <v>715</v>
      </c>
    </row>
    <row r="203" spans="1:9" x14ac:dyDescent="0.45">
      <c r="A203" t="s">
        <v>767</v>
      </c>
      <c r="B203" s="4" t="s">
        <v>768</v>
      </c>
      <c r="C203" t="s">
        <v>220</v>
      </c>
      <c r="D203" t="s">
        <v>254</v>
      </c>
      <c r="E203">
        <v>0.56000000000000005</v>
      </c>
      <c r="F203" t="s">
        <v>700</v>
      </c>
      <c r="G203" t="s">
        <v>769</v>
      </c>
      <c r="H203" s="4" t="s">
        <v>731</v>
      </c>
      <c r="I203" s="4" t="s">
        <v>770</v>
      </c>
    </row>
    <row r="204" spans="1:9" x14ac:dyDescent="0.45">
      <c r="A204" t="s">
        <v>771</v>
      </c>
      <c r="B204" s="4" t="s">
        <v>772</v>
      </c>
      <c r="C204" t="s">
        <v>427</v>
      </c>
      <c r="D204" t="s">
        <v>261</v>
      </c>
      <c r="E204">
        <v>0.56000000000000005</v>
      </c>
      <c r="F204" t="s">
        <v>535</v>
      </c>
      <c r="G204" t="s">
        <v>773</v>
      </c>
      <c r="H204" s="4" t="s">
        <v>536</v>
      </c>
      <c r="I204" s="4" t="s">
        <v>774</v>
      </c>
    </row>
    <row r="205" spans="1:9" x14ac:dyDescent="0.45">
      <c r="A205" t="s">
        <v>775</v>
      </c>
      <c r="B205" s="4" t="s">
        <v>776</v>
      </c>
      <c r="C205" t="s">
        <v>760</v>
      </c>
      <c r="D205" t="s">
        <v>220</v>
      </c>
      <c r="E205">
        <v>0.56000000000000005</v>
      </c>
      <c r="F205" t="s">
        <v>521</v>
      </c>
      <c r="G205" t="s">
        <v>615</v>
      </c>
      <c r="H205" s="4" t="s">
        <v>522</v>
      </c>
      <c r="I205" s="4" t="s">
        <v>616</v>
      </c>
    </row>
    <row r="206" spans="1:9" x14ac:dyDescent="0.45">
      <c r="A206" t="s">
        <v>777</v>
      </c>
      <c r="B206" s="4" t="s">
        <v>762</v>
      </c>
      <c r="C206" t="s">
        <v>220</v>
      </c>
      <c r="D206" t="s">
        <v>220</v>
      </c>
      <c r="E206">
        <v>0.56000000000000005</v>
      </c>
      <c r="F206" t="s">
        <v>562</v>
      </c>
      <c r="G206" t="s">
        <v>763</v>
      </c>
      <c r="H206" s="4" t="s">
        <v>563</v>
      </c>
      <c r="I206" s="4" t="s">
        <v>764</v>
      </c>
    </row>
    <row r="207" spans="1:9" x14ac:dyDescent="0.45">
      <c r="A207" t="s">
        <v>778</v>
      </c>
      <c r="B207" s="4" t="s">
        <v>779</v>
      </c>
      <c r="C207" t="s">
        <v>534</v>
      </c>
      <c r="D207" t="s">
        <v>261</v>
      </c>
      <c r="E207">
        <v>0.56000000000000005</v>
      </c>
      <c r="F207" t="s">
        <v>719</v>
      </c>
      <c r="G207" t="s">
        <v>275</v>
      </c>
      <c r="H207" s="4" t="s">
        <v>720</v>
      </c>
      <c r="I207" s="4" t="s">
        <v>276</v>
      </c>
    </row>
    <row r="208" spans="1:9" x14ac:dyDescent="0.45">
      <c r="A208" t="s">
        <v>780</v>
      </c>
      <c r="B208" s="4" t="s">
        <v>781</v>
      </c>
      <c r="C208" t="s">
        <v>419</v>
      </c>
      <c r="D208" t="s">
        <v>220</v>
      </c>
      <c r="E208">
        <v>0.56000000000000005</v>
      </c>
      <c r="F208" t="s">
        <v>476</v>
      </c>
      <c r="G208" t="s">
        <v>567</v>
      </c>
      <c r="H208" s="4" t="s">
        <v>162</v>
      </c>
      <c r="I208" s="4" t="s">
        <v>568</v>
      </c>
    </row>
    <row r="209" spans="1:9" x14ac:dyDescent="0.45">
      <c r="A209" t="s">
        <v>782</v>
      </c>
      <c r="B209" s="4" t="s">
        <v>783</v>
      </c>
      <c r="C209" t="s">
        <v>321</v>
      </c>
      <c r="D209" t="s">
        <v>220</v>
      </c>
      <c r="E209">
        <v>0.56000000000000005</v>
      </c>
      <c r="F209" t="s">
        <v>707</v>
      </c>
      <c r="G209" t="s">
        <v>388</v>
      </c>
      <c r="H209" s="4" t="s">
        <v>708</v>
      </c>
      <c r="I209" s="4" t="s">
        <v>564</v>
      </c>
    </row>
    <row r="210" spans="1:9" x14ac:dyDescent="0.45">
      <c r="A210" t="s">
        <v>784</v>
      </c>
      <c r="B210" s="4" t="s">
        <v>785</v>
      </c>
      <c r="C210" t="s">
        <v>321</v>
      </c>
      <c r="D210" t="s">
        <v>220</v>
      </c>
      <c r="E210">
        <v>0.56000000000000005</v>
      </c>
      <c r="F210" t="s">
        <v>707</v>
      </c>
      <c r="G210" t="s">
        <v>700</v>
      </c>
      <c r="H210" s="4" t="s">
        <v>708</v>
      </c>
      <c r="I210" s="4" t="s">
        <v>731</v>
      </c>
    </row>
    <row r="211" spans="1:9" x14ac:dyDescent="0.45">
      <c r="A211" t="s">
        <v>786</v>
      </c>
      <c r="B211" s="4" t="s">
        <v>787</v>
      </c>
      <c r="C211" t="s">
        <v>390</v>
      </c>
      <c r="D211" t="s">
        <v>220</v>
      </c>
      <c r="E211">
        <v>0.56000000000000005</v>
      </c>
      <c r="F211" t="s">
        <v>594</v>
      </c>
      <c r="G211" t="s">
        <v>467</v>
      </c>
      <c r="H211" s="4" t="s">
        <v>595</v>
      </c>
      <c r="I211" s="4" t="s">
        <v>468</v>
      </c>
    </row>
    <row r="212" spans="1:9" x14ac:dyDescent="0.45">
      <c r="A212" t="s">
        <v>788</v>
      </c>
      <c r="B212" s="4" t="s">
        <v>789</v>
      </c>
      <c r="C212" t="s">
        <v>760</v>
      </c>
      <c r="D212" t="s">
        <v>479</v>
      </c>
      <c r="E212">
        <v>0.56000000000000005</v>
      </c>
      <c r="F212" t="s">
        <v>480</v>
      </c>
      <c r="G212" t="s">
        <v>628</v>
      </c>
      <c r="H212" s="4" t="s">
        <v>481</v>
      </c>
      <c r="I212" s="4" t="s">
        <v>630</v>
      </c>
    </row>
    <row r="213" spans="1:9" x14ac:dyDescent="0.45">
      <c r="A213" t="s">
        <v>790</v>
      </c>
      <c r="B213" s="4" t="s">
        <v>791</v>
      </c>
      <c r="C213" t="s">
        <v>438</v>
      </c>
      <c r="D213" t="s">
        <v>220</v>
      </c>
      <c r="E213">
        <v>0.56000000000000005</v>
      </c>
      <c r="F213" t="s">
        <v>700</v>
      </c>
      <c r="G213" t="s">
        <v>741</v>
      </c>
      <c r="H213" s="4" t="s">
        <v>731</v>
      </c>
      <c r="I213" s="4" t="s">
        <v>757</v>
      </c>
    </row>
    <row r="214" spans="1:9" x14ac:dyDescent="0.45">
      <c r="A214" t="s">
        <v>792</v>
      </c>
      <c r="B214" s="4" t="s">
        <v>793</v>
      </c>
      <c r="C214" t="s">
        <v>220</v>
      </c>
      <c r="D214" t="s">
        <v>254</v>
      </c>
      <c r="E214">
        <v>0.56000000000000005</v>
      </c>
      <c r="F214" t="s">
        <v>700</v>
      </c>
      <c r="G214" t="s">
        <v>769</v>
      </c>
      <c r="H214" s="4" t="s">
        <v>731</v>
      </c>
      <c r="I214" s="4" t="s">
        <v>770</v>
      </c>
    </row>
    <row r="215" spans="1:9" x14ac:dyDescent="0.45">
      <c r="A215" t="s">
        <v>794</v>
      </c>
      <c r="B215" s="4" t="s">
        <v>795</v>
      </c>
      <c r="C215" t="s">
        <v>484</v>
      </c>
      <c r="D215" t="s">
        <v>261</v>
      </c>
      <c r="E215">
        <v>0.56000000000000005</v>
      </c>
      <c r="F215" t="s">
        <v>710</v>
      </c>
      <c r="G215" t="s">
        <v>796</v>
      </c>
      <c r="H215" s="4" t="s">
        <v>711</v>
      </c>
      <c r="I215" s="4" t="s">
        <v>797</v>
      </c>
    </row>
    <row r="216" spans="1:9" x14ac:dyDescent="0.45">
      <c r="A216" t="s">
        <v>908</v>
      </c>
      <c r="B216" s="4" t="s">
        <v>912</v>
      </c>
      <c r="C216" t="s">
        <v>505</v>
      </c>
      <c r="D216" t="s">
        <v>540</v>
      </c>
      <c r="E216">
        <v>0</v>
      </c>
      <c r="I216" s="4" t="s">
        <v>918</v>
      </c>
    </row>
    <row r="217" spans="1:9" x14ac:dyDescent="0.45">
      <c r="A217" t="s">
        <v>909</v>
      </c>
      <c r="B217" s="4" t="s">
        <v>913</v>
      </c>
      <c r="C217" t="s">
        <v>505</v>
      </c>
      <c r="D217" t="s">
        <v>540</v>
      </c>
      <c r="E217">
        <v>0</v>
      </c>
      <c r="I217" s="4" t="s">
        <v>918</v>
      </c>
    </row>
    <row r="218" spans="1:9" x14ac:dyDescent="0.45">
      <c r="A218" t="s">
        <v>798</v>
      </c>
      <c r="B218" s="4" t="s">
        <v>799</v>
      </c>
      <c r="C218" t="s">
        <v>736</v>
      </c>
      <c r="D218" t="s">
        <v>210</v>
      </c>
      <c r="E218">
        <v>0.56000000000000005</v>
      </c>
      <c r="F218" t="s">
        <v>407</v>
      </c>
      <c r="G218" t="s">
        <v>364</v>
      </c>
      <c r="H218" s="4" t="s">
        <v>408</v>
      </c>
      <c r="I218" s="4" t="s">
        <v>365</v>
      </c>
    </row>
    <row r="219" spans="1:9" x14ac:dyDescent="0.45">
      <c r="A219" t="s">
        <v>800</v>
      </c>
      <c r="B219" s="4" t="s">
        <v>801</v>
      </c>
      <c r="C219" t="s">
        <v>438</v>
      </c>
      <c r="D219" t="s">
        <v>185</v>
      </c>
      <c r="E219">
        <v>0</v>
      </c>
      <c r="G219" t="s">
        <v>741</v>
      </c>
      <c r="I219" s="4" t="s">
        <v>757</v>
      </c>
    </row>
    <row r="220" spans="1:9" x14ac:dyDescent="0.45">
      <c r="A220" t="s">
        <v>802</v>
      </c>
      <c r="C220" t="s">
        <v>310</v>
      </c>
      <c r="D220" t="s">
        <v>559</v>
      </c>
      <c r="E220">
        <v>3.38</v>
      </c>
      <c r="F220" t="s">
        <v>392</v>
      </c>
      <c r="G220" t="s">
        <v>803</v>
      </c>
    </row>
    <row r="221" spans="1:9" x14ac:dyDescent="0.45">
      <c r="A221" t="s">
        <v>804</v>
      </c>
      <c r="B221" s="4" t="s">
        <v>805</v>
      </c>
      <c r="C221" t="s">
        <v>310</v>
      </c>
      <c r="D221" t="s">
        <v>559</v>
      </c>
      <c r="E221">
        <v>0.56000000000000005</v>
      </c>
      <c r="F221" t="s">
        <v>392</v>
      </c>
      <c r="G221" t="s">
        <v>803</v>
      </c>
      <c r="H221" s="4" t="s">
        <v>457</v>
      </c>
      <c r="I221" s="4" t="s">
        <v>806</v>
      </c>
    </row>
    <row r="222" spans="1:9" x14ac:dyDescent="0.45">
      <c r="A222" t="s">
        <v>807</v>
      </c>
      <c r="B222" s="4" t="s">
        <v>808</v>
      </c>
      <c r="C222" t="s">
        <v>310</v>
      </c>
      <c r="D222" t="s">
        <v>559</v>
      </c>
      <c r="E222">
        <v>0.56000000000000005</v>
      </c>
      <c r="F222" t="s">
        <v>392</v>
      </c>
      <c r="G222" t="s">
        <v>803</v>
      </c>
      <c r="H222" s="4" t="s">
        <v>457</v>
      </c>
      <c r="I222" s="4" t="s">
        <v>806</v>
      </c>
    </row>
    <row r="223" spans="1:9" x14ac:dyDescent="0.45">
      <c r="A223" t="s">
        <v>809</v>
      </c>
      <c r="B223" s="4" t="s">
        <v>810</v>
      </c>
      <c r="C223" t="s">
        <v>310</v>
      </c>
      <c r="D223" t="s">
        <v>559</v>
      </c>
      <c r="E223">
        <v>0.56000000000000005</v>
      </c>
      <c r="F223" t="s">
        <v>392</v>
      </c>
      <c r="G223" t="s">
        <v>803</v>
      </c>
      <c r="H223" s="4" t="s">
        <v>457</v>
      </c>
      <c r="I223" s="4" t="s">
        <v>806</v>
      </c>
    </row>
    <row r="224" spans="1:9" x14ac:dyDescent="0.45">
      <c r="A224" t="s">
        <v>811</v>
      </c>
      <c r="B224" s="4" t="s">
        <v>812</v>
      </c>
      <c r="C224" t="s">
        <v>310</v>
      </c>
      <c r="D224" t="s">
        <v>559</v>
      </c>
      <c r="E224">
        <v>0.56000000000000005</v>
      </c>
      <c r="F224" t="s">
        <v>392</v>
      </c>
      <c r="G224" t="s">
        <v>803</v>
      </c>
      <c r="H224" s="4" t="s">
        <v>457</v>
      </c>
      <c r="I224" s="4" t="s">
        <v>806</v>
      </c>
    </row>
    <row r="225" spans="1:9" x14ac:dyDescent="0.45">
      <c r="A225" t="s">
        <v>813</v>
      </c>
      <c r="B225" s="4" t="s">
        <v>814</v>
      </c>
      <c r="C225" t="s">
        <v>310</v>
      </c>
      <c r="D225" t="s">
        <v>559</v>
      </c>
      <c r="E225">
        <v>0.56000000000000005</v>
      </c>
      <c r="F225" t="s">
        <v>392</v>
      </c>
      <c r="G225" t="s">
        <v>803</v>
      </c>
      <c r="H225" s="4" t="s">
        <v>457</v>
      </c>
      <c r="I225" s="4" t="s">
        <v>806</v>
      </c>
    </row>
    <row r="226" spans="1:9" x14ac:dyDescent="0.45">
      <c r="A226" t="s">
        <v>815</v>
      </c>
      <c r="B226" s="4" t="s">
        <v>816</v>
      </c>
      <c r="C226" t="s">
        <v>310</v>
      </c>
      <c r="D226" t="s">
        <v>559</v>
      </c>
      <c r="E226">
        <v>0.56000000000000005</v>
      </c>
      <c r="F226" t="s">
        <v>392</v>
      </c>
      <c r="G226" t="s">
        <v>803</v>
      </c>
      <c r="H226" s="4" t="s">
        <v>457</v>
      </c>
      <c r="I226" s="4" t="s">
        <v>806</v>
      </c>
    </row>
    <row r="227" spans="1:9" x14ac:dyDescent="0.45">
      <c r="A227" t="s">
        <v>817</v>
      </c>
      <c r="C227" t="s">
        <v>438</v>
      </c>
      <c r="D227" t="s">
        <v>740</v>
      </c>
      <c r="E227">
        <v>5.63</v>
      </c>
      <c r="F227" t="s">
        <v>364</v>
      </c>
      <c r="G227" t="s">
        <v>698</v>
      </c>
    </row>
    <row r="228" spans="1:9" x14ac:dyDescent="0.45">
      <c r="A228" t="s">
        <v>818</v>
      </c>
      <c r="B228" s="4" t="s">
        <v>819</v>
      </c>
      <c r="C228" t="s">
        <v>438</v>
      </c>
      <c r="D228" t="s">
        <v>185</v>
      </c>
      <c r="E228">
        <v>0</v>
      </c>
      <c r="G228" t="s">
        <v>698</v>
      </c>
      <c r="I228" s="4" t="s">
        <v>820</v>
      </c>
    </row>
    <row r="229" spans="1:9" x14ac:dyDescent="0.45">
      <c r="A229" t="s">
        <v>821</v>
      </c>
      <c r="B229" s="4" t="s">
        <v>822</v>
      </c>
      <c r="C229" t="s">
        <v>479</v>
      </c>
      <c r="D229" t="s">
        <v>210</v>
      </c>
      <c r="E229">
        <v>0.28000000000000003</v>
      </c>
      <c r="F229" t="s">
        <v>744</v>
      </c>
      <c r="G229" t="s">
        <v>463</v>
      </c>
      <c r="H229" s="4" t="s">
        <v>745</v>
      </c>
      <c r="I229" s="4" t="s">
        <v>553</v>
      </c>
    </row>
    <row r="230" spans="1:9" x14ac:dyDescent="0.45">
      <c r="A230" t="s">
        <v>823</v>
      </c>
      <c r="B230" s="4" t="s">
        <v>824</v>
      </c>
      <c r="C230" t="s">
        <v>294</v>
      </c>
      <c r="D230" t="s">
        <v>210</v>
      </c>
      <c r="E230">
        <v>0.28000000000000003</v>
      </c>
      <c r="F230" t="s">
        <v>749</v>
      </c>
      <c r="G230" t="s">
        <v>825</v>
      </c>
      <c r="H230" s="4" t="s">
        <v>750</v>
      </c>
      <c r="I230" s="4" t="s">
        <v>826</v>
      </c>
    </row>
    <row r="231" spans="1:9" x14ac:dyDescent="0.45">
      <c r="A231" t="s">
        <v>827</v>
      </c>
      <c r="B231" s="4" t="s">
        <v>828</v>
      </c>
      <c r="C231" t="s">
        <v>261</v>
      </c>
      <c r="D231" t="s">
        <v>210</v>
      </c>
      <c r="E231">
        <v>0.28000000000000003</v>
      </c>
      <c r="F231" t="s">
        <v>700</v>
      </c>
      <c r="G231" t="s">
        <v>803</v>
      </c>
      <c r="H231" s="4" t="s">
        <v>731</v>
      </c>
      <c r="I231" s="4" t="s">
        <v>806</v>
      </c>
    </row>
    <row r="232" spans="1:9" x14ac:dyDescent="0.45">
      <c r="A232" t="s">
        <v>829</v>
      </c>
      <c r="B232" s="4" t="s">
        <v>830</v>
      </c>
      <c r="C232" t="s">
        <v>508</v>
      </c>
      <c r="D232" t="s">
        <v>210</v>
      </c>
      <c r="E232">
        <v>0.28000000000000003</v>
      </c>
      <c r="F232" t="s">
        <v>703</v>
      </c>
      <c r="G232" t="s">
        <v>703</v>
      </c>
      <c r="H232" s="4" t="s">
        <v>705</v>
      </c>
      <c r="I232" s="4" t="s">
        <v>705</v>
      </c>
    </row>
    <row r="233" spans="1:9" x14ac:dyDescent="0.45">
      <c r="A233" t="s">
        <v>831</v>
      </c>
      <c r="B233" s="4" t="s">
        <v>832</v>
      </c>
      <c r="C233" t="s">
        <v>438</v>
      </c>
      <c r="D233" t="s">
        <v>210</v>
      </c>
      <c r="E233">
        <v>0.28000000000000003</v>
      </c>
      <c r="F233" t="s">
        <v>698</v>
      </c>
      <c r="G233" t="s">
        <v>698</v>
      </c>
      <c r="H233" s="4" t="s">
        <v>820</v>
      </c>
      <c r="I233" s="4" t="s">
        <v>820</v>
      </c>
    </row>
    <row r="234" spans="1:9" x14ac:dyDescent="0.45">
      <c r="A234" t="s">
        <v>833</v>
      </c>
      <c r="B234" s="4" t="s">
        <v>834</v>
      </c>
      <c r="C234" t="s">
        <v>520</v>
      </c>
      <c r="D234" t="s">
        <v>210</v>
      </c>
      <c r="E234">
        <v>0.28000000000000003</v>
      </c>
      <c r="F234" t="s">
        <v>628</v>
      </c>
      <c r="G234" t="s">
        <v>835</v>
      </c>
      <c r="H234" s="4" t="s">
        <v>630</v>
      </c>
      <c r="I234" s="4" t="s">
        <v>836</v>
      </c>
    </row>
    <row r="235" spans="1:9" x14ac:dyDescent="0.45">
      <c r="A235" t="s">
        <v>837</v>
      </c>
      <c r="B235" s="4" t="s">
        <v>838</v>
      </c>
      <c r="C235" t="s">
        <v>220</v>
      </c>
      <c r="D235" t="s">
        <v>210</v>
      </c>
      <c r="E235">
        <v>0.28000000000000003</v>
      </c>
      <c r="F235" t="s">
        <v>763</v>
      </c>
      <c r="G235" t="s">
        <v>769</v>
      </c>
      <c r="H235" s="4" t="s">
        <v>764</v>
      </c>
      <c r="I235" s="4" t="s">
        <v>770</v>
      </c>
    </row>
    <row r="236" spans="1:9" x14ac:dyDescent="0.45">
      <c r="A236" t="s">
        <v>839</v>
      </c>
      <c r="B236" s="4" t="s">
        <v>840</v>
      </c>
      <c r="C236" t="s">
        <v>626</v>
      </c>
      <c r="D236" t="s">
        <v>210</v>
      </c>
      <c r="E236">
        <v>0.28000000000000003</v>
      </c>
      <c r="F236" t="s">
        <v>223</v>
      </c>
      <c r="G236" t="s">
        <v>223</v>
      </c>
      <c r="H236" s="4" t="s">
        <v>277</v>
      </c>
      <c r="I236" s="4" t="s">
        <v>277</v>
      </c>
    </row>
    <row r="237" spans="1:9" x14ac:dyDescent="0.45">
      <c r="A237" t="s">
        <v>841</v>
      </c>
      <c r="B237" s="4" t="s">
        <v>842</v>
      </c>
      <c r="C237" t="s">
        <v>534</v>
      </c>
      <c r="D237" t="s">
        <v>210</v>
      </c>
      <c r="E237">
        <v>0.28000000000000003</v>
      </c>
      <c r="F237" t="s">
        <v>773</v>
      </c>
      <c r="G237" t="s">
        <v>710</v>
      </c>
      <c r="H237" s="4" t="s">
        <v>774</v>
      </c>
      <c r="I237" s="4" t="s">
        <v>711</v>
      </c>
    </row>
    <row r="238" spans="1:9" x14ac:dyDescent="0.45">
      <c r="A238" t="s">
        <v>843</v>
      </c>
      <c r="B238" s="4" t="s">
        <v>844</v>
      </c>
      <c r="C238" t="s">
        <v>520</v>
      </c>
      <c r="D238" t="s">
        <v>210</v>
      </c>
      <c r="E238">
        <v>0.28000000000000003</v>
      </c>
      <c r="F238" t="s">
        <v>615</v>
      </c>
      <c r="G238" t="s">
        <v>628</v>
      </c>
      <c r="H238" s="4" t="s">
        <v>616</v>
      </c>
      <c r="I238" s="4" t="s">
        <v>630</v>
      </c>
    </row>
    <row r="239" spans="1:9" x14ac:dyDescent="0.45">
      <c r="A239" t="s">
        <v>845</v>
      </c>
      <c r="B239" s="4" t="s">
        <v>838</v>
      </c>
      <c r="C239" t="s">
        <v>220</v>
      </c>
      <c r="D239" t="s">
        <v>210</v>
      </c>
      <c r="E239">
        <v>0.28000000000000003</v>
      </c>
      <c r="F239" t="s">
        <v>763</v>
      </c>
      <c r="G239" t="s">
        <v>769</v>
      </c>
      <c r="H239" s="4" t="s">
        <v>764</v>
      </c>
      <c r="I239" s="4" t="s">
        <v>770</v>
      </c>
    </row>
    <row r="240" spans="1:9" x14ac:dyDescent="0.45">
      <c r="A240" t="s">
        <v>846</v>
      </c>
      <c r="B240" s="4" t="s">
        <v>847</v>
      </c>
      <c r="C240" t="s">
        <v>360</v>
      </c>
      <c r="D240" t="s">
        <v>210</v>
      </c>
      <c r="E240">
        <v>0.28000000000000003</v>
      </c>
      <c r="F240" t="s">
        <v>275</v>
      </c>
      <c r="G240" t="s">
        <v>848</v>
      </c>
      <c r="H240" s="4" t="s">
        <v>276</v>
      </c>
      <c r="I240" s="4" t="s">
        <v>849</v>
      </c>
    </row>
    <row r="241" spans="1:9" x14ac:dyDescent="0.45">
      <c r="A241" t="s">
        <v>850</v>
      </c>
      <c r="B241" s="4" t="s">
        <v>851</v>
      </c>
      <c r="C241" t="s">
        <v>474</v>
      </c>
      <c r="D241" t="s">
        <v>210</v>
      </c>
      <c r="E241">
        <v>0.28000000000000003</v>
      </c>
      <c r="F241" t="s">
        <v>567</v>
      </c>
      <c r="G241" t="s">
        <v>627</v>
      </c>
      <c r="H241" s="4" t="s">
        <v>568</v>
      </c>
      <c r="I241" s="4" t="s">
        <v>629</v>
      </c>
    </row>
    <row r="242" spans="1:9" x14ac:dyDescent="0.45">
      <c r="A242" t="s">
        <v>852</v>
      </c>
      <c r="B242" s="4" t="s">
        <v>853</v>
      </c>
      <c r="C242" t="s">
        <v>310</v>
      </c>
      <c r="D242" t="s">
        <v>210</v>
      </c>
      <c r="E242">
        <v>0.28000000000000003</v>
      </c>
      <c r="F242" t="s">
        <v>700</v>
      </c>
      <c r="G242" t="s">
        <v>700</v>
      </c>
      <c r="H242" s="4" t="s">
        <v>731</v>
      </c>
      <c r="I242" s="4" t="s">
        <v>731</v>
      </c>
    </row>
    <row r="243" spans="1:9" x14ac:dyDescent="0.45">
      <c r="A243" t="s">
        <v>854</v>
      </c>
      <c r="B243" s="4" t="s">
        <v>855</v>
      </c>
      <c r="C243" t="s">
        <v>310</v>
      </c>
      <c r="D243" t="s">
        <v>210</v>
      </c>
      <c r="E243">
        <v>0.28000000000000003</v>
      </c>
      <c r="F243" t="s">
        <v>700</v>
      </c>
      <c r="G243" t="s">
        <v>803</v>
      </c>
      <c r="H243" s="4" t="s">
        <v>731</v>
      </c>
      <c r="I243" s="4" t="s">
        <v>806</v>
      </c>
    </row>
    <row r="244" spans="1:9" x14ac:dyDescent="0.45">
      <c r="A244" t="s">
        <v>856</v>
      </c>
      <c r="B244" s="4" t="s">
        <v>857</v>
      </c>
      <c r="C244" t="s">
        <v>858</v>
      </c>
      <c r="D244" t="s">
        <v>210</v>
      </c>
      <c r="E244">
        <v>0.28000000000000003</v>
      </c>
      <c r="F244" t="s">
        <v>467</v>
      </c>
      <c r="G244" t="s">
        <v>611</v>
      </c>
      <c r="H244" s="4" t="s">
        <v>468</v>
      </c>
      <c r="I244" s="4" t="s">
        <v>612</v>
      </c>
    </row>
    <row r="245" spans="1:9" x14ac:dyDescent="0.45">
      <c r="A245" t="s">
        <v>859</v>
      </c>
      <c r="B245" s="4" t="s">
        <v>860</v>
      </c>
      <c r="C245" t="s">
        <v>520</v>
      </c>
      <c r="D245" t="s">
        <v>210</v>
      </c>
      <c r="E245">
        <v>0.28000000000000003</v>
      </c>
      <c r="F245" t="s">
        <v>628</v>
      </c>
      <c r="G245" t="s">
        <v>835</v>
      </c>
      <c r="H245" s="4" t="s">
        <v>630</v>
      </c>
      <c r="I245" s="4" t="s">
        <v>836</v>
      </c>
    </row>
    <row r="246" spans="1:9" x14ac:dyDescent="0.45">
      <c r="A246" t="s">
        <v>861</v>
      </c>
      <c r="B246" s="4" t="s">
        <v>862</v>
      </c>
      <c r="C246" t="s">
        <v>438</v>
      </c>
      <c r="D246" t="s">
        <v>210</v>
      </c>
      <c r="E246">
        <v>0.28000000000000003</v>
      </c>
      <c r="F246" t="s">
        <v>698</v>
      </c>
      <c r="G246" t="s">
        <v>698</v>
      </c>
      <c r="H246" s="4" t="s">
        <v>820</v>
      </c>
      <c r="I246" s="4" t="s">
        <v>820</v>
      </c>
    </row>
    <row r="247" spans="1:9" x14ac:dyDescent="0.45">
      <c r="A247" t="s">
        <v>863</v>
      </c>
      <c r="B247" s="4" t="s">
        <v>864</v>
      </c>
      <c r="C247" t="s">
        <v>279</v>
      </c>
      <c r="D247" t="s">
        <v>210</v>
      </c>
      <c r="E247">
        <v>0.28000000000000003</v>
      </c>
      <c r="F247" t="s">
        <v>686</v>
      </c>
      <c r="G247" t="s">
        <v>686</v>
      </c>
      <c r="H247" s="4" t="s">
        <v>687</v>
      </c>
      <c r="I247" s="4" t="s">
        <v>687</v>
      </c>
    </row>
    <row r="248" spans="1:9" x14ac:dyDescent="0.45">
      <c r="A248" t="s">
        <v>914</v>
      </c>
      <c r="B248" s="4" t="s">
        <v>915</v>
      </c>
      <c r="C248" t="s">
        <v>505</v>
      </c>
      <c r="D248" t="s">
        <v>210</v>
      </c>
      <c r="E248">
        <v>0</v>
      </c>
    </row>
    <row r="249" spans="1:9" x14ac:dyDescent="0.45">
      <c r="A249" t="s">
        <v>916</v>
      </c>
      <c r="B249" s="4" t="s">
        <v>917</v>
      </c>
      <c r="C249" t="s">
        <v>505</v>
      </c>
      <c r="D249" t="s">
        <v>210</v>
      </c>
      <c r="E249">
        <v>0</v>
      </c>
    </row>
    <row r="250" spans="1:9" x14ac:dyDescent="0.45">
      <c r="A250" t="s">
        <v>865</v>
      </c>
      <c r="B250" s="4" t="s">
        <v>866</v>
      </c>
      <c r="C250" t="s">
        <v>867</v>
      </c>
      <c r="D250" t="s">
        <v>210</v>
      </c>
      <c r="E250">
        <v>0.28000000000000003</v>
      </c>
      <c r="F250" t="s">
        <v>364</v>
      </c>
      <c r="G250" t="s">
        <v>262</v>
      </c>
      <c r="H250" s="4" t="s">
        <v>365</v>
      </c>
      <c r="I250" s="4" t="s">
        <v>264</v>
      </c>
    </row>
    <row r="251" spans="1:9" x14ac:dyDescent="0.45">
      <c r="A251" t="s">
        <v>868</v>
      </c>
      <c r="C251" t="s">
        <v>185</v>
      </c>
      <c r="D251" t="s">
        <v>869</v>
      </c>
      <c r="E251">
        <v>6.27</v>
      </c>
      <c r="F251" t="s">
        <v>240</v>
      </c>
      <c r="G251" t="s">
        <v>188</v>
      </c>
    </row>
    <row r="252" spans="1:9" x14ac:dyDescent="0.45">
      <c r="A252" t="s">
        <v>870</v>
      </c>
      <c r="C252" t="s">
        <v>190</v>
      </c>
      <c r="D252" t="s">
        <v>471</v>
      </c>
      <c r="E252">
        <v>5.35</v>
      </c>
      <c r="F252" t="s">
        <v>240</v>
      </c>
      <c r="G252" t="s">
        <v>463</v>
      </c>
    </row>
    <row r="253" spans="1:9" x14ac:dyDescent="0.45">
      <c r="A253" t="s">
        <v>871</v>
      </c>
      <c r="B253" s="4" t="s">
        <v>872</v>
      </c>
      <c r="C253" t="s">
        <v>190</v>
      </c>
      <c r="D253" t="s">
        <v>659</v>
      </c>
      <c r="E253">
        <v>0.42</v>
      </c>
      <c r="F253" t="s">
        <v>501</v>
      </c>
      <c r="G253" t="s">
        <v>463</v>
      </c>
      <c r="H253" s="4" t="s">
        <v>502</v>
      </c>
      <c r="I253" s="4" t="s">
        <v>553</v>
      </c>
    </row>
    <row r="254" spans="1:9" x14ac:dyDescent="0.45">
      <c r="A254" t="s">
        <v>873</v>
      </c>
      <c r="B254" s="4" t="s">
        <v>874</v>
      </c>
      <c r="C254" t="s">
        <v>190</v>
      </c>
      <c r="D254" t="s">
        <v>659</v>
      </c>
      <c r="E254">
        <v>0.42</v>
      </c>
      <c r="F254" t="s">
        <v>501</v>
      </c>
      <c r="G254" t="s">
        <v>463</v>
      </c>
      <c r="H254" s="4" t="s">
        <v>502</v>
      </c>
      <c r="I254" s="4" t="s">
        <v>553</v>
      </c>
    </row>
    <row r="255" spans="1:9" x14ac:dyDescent="0.45">
      <c r="A255" t="s">
        <v>875</v>
      </c>
      <c r="B255" s="4" t="s">
        <v>876</v>
      </c>
      <c r="C255" t="s">
        <v>190</v>
      </c>
      <c r="D255" t="s">
        <v>659</v>
      </c>
      <c r="E255">
        <v>0.42</v>
      </c>
      <c r="F255" t="s">
        <v>501</v>
      </c>
      <c r="G255" t="s">
        <v>463</v>
      </c>
      <c r="H255" s="4" t="s">
        <v>502</v>
      </c>
      <c r="I255" s="4" t="s">
        <v>553</v>
      </c>
    </row>
    <row r="256" spans="1:9" x14ac:dyDescent="0.45">
      <c r="A256" t="s">
        <v>877</v>
      </c>
      <c r="B256" s="4" t="s">
        <v>878</v>
      </c>
      <c r="C256" t="s">
        <v>220</v>
      </c>
      <c r="D256" t="s">
        <v>659</v>
      </c>
      <c r="E256">
        <v>0.49</v>
      </c>
      <c r="F256" t="s">
        <v>372</v>
      </c>
      <c r="G256" t="s">
        <v>223</v>
      </c>
      <c r="H256" s="4" t="s">
        <v>373</v>
      </c>
      <c r="I256" s="4" t="s">
        <v>277</v>
      </c>
    </row>
    <row r="257" spans="1:9" x14ac:dyDescent="0.45">
      <c r="A257" t="s">
        <v>879</v>
      </c>
      <c r="B257" s="4" t="s">
        <v>880</v>
      </c>
      <c r="C257" t="s">
        <v>185</v>
      </c>
      <c r="D257" t="s">
        <v>499</v>
      </c>
      <c r="E257">
        <v>0.7</v>
      </c>
      <c r="F257" t="s">
        <v>240</v>
      </c>
      <c r="G257" t="s">
        <v>881</v>
      </c>
      <c r="H257" s="4" t="s">
        <v>242</v>
      </c>
      <c r="I257" s="4" t="s">
        <v>882</v>
      </c>
    </row>
    <row r="258" spans="1:9" x14ac:dyDescent="0.45">
      <c r="A258" t="s">
        <v>883</v>
      </c>
      <c r="B258" s="4" t="s">
        <v>884</v>
      </c>
      <c r="C258" t="s">
        <v>220</v>
      </c>
      <c r="D258" t="s">
        <v>659</v>
      </c>
      <c r="E258">
        <v>0.49</v>
      </c>
      <c r="F258" t="s">
        <v>372</v>
      </c>
      <c r="G258" t="s">
        <v>223</v>
      </c>
      <c r="H258" s="4" t="s">
        <v>373</v>
      </c>
      <c r="I258" s="4" t="s">
        <v>277</v>
      </c>
    </row>
    <row r="259" spans="1:9" x14ac:dyDescent="0.45">
      <c r="A259" t="s">
        <v>885</v>
      </c>
      <c r="B259" s="4" t="s">
        <v>886</v>
      </c>
      <c r="C259" t="s">
        <v>185</v>
      </c>
      <c r="D259" t="s">
        <v>540</v>
      </c>
      <c r="E259">
        <v>0.7</v>
      </c>
      <c r="F259" t="s">
        <v>326</v>
      </c>
      <c r="G259" t="s">
        <v>611</v>
      </c>
      <c r="H259" s="4" t="s">
        <v>334</v>
      </c>
      <c r="I259" s="4" t="s">
        <v>612</v>
      </c>
    </row>
    <row r="260" spans="1:9" x14ac:dyDescent="0.45">
      <c r="A260" t="s">
        <v>887</v>
      </c>
      <c r="B260" s="4" t="s">
        <v>888</v>
      </c>
      <c r="C260" t="s">
        <v>220</v>
      </c>
      <c r="D260" t="s">
        <v>659</v>
      </c>
      <c r="E260">
        <v>0.49</v>
      </c>
      <c r="F260" t="s">
        <v>372</v>
      </c>
      <c r="G260" t="s">
        <v>223</v>
      </c>
      <c r="H260" s="4" t="s">
        <v>373</v>
      </c>
      <c r="I260" s="4" t="s">
        <v>277</v>
      </c>
    </row>
    <row r="261" spans="1:9" x14ac:dyDescent="0.45">
      <c r="A261" t="s">
        <v>889</v>
      </c>
      <c r="B261" s="4" t="s">
        <v>890</v>
      </c>
      <c r="C261" t="s">
        <v>220</v>
      </c>
      <c r="D261" t="s">
        <v>659</v>
      </c>
      <c r="E261">
        <v>0.49</v>
      </c>
      <c r="F261" t="s">
        <v>372</v>
      </c>
      <c r="G261" t="s">
        <v>223</v>
      </c>
      <c r="H261" s="4" t="s">
        <v>373</v>
      </c>
      <c r="I261" s="4" t="s">
        <v>277</v>
      </c>
    </row>
    <row r="262" spans="1:9" x14ac:dyDescent="0.45">
      <c r="A262" t="s">
        <v>891</v>
      </c>
      <c r="B262" s="4" t="s">
        <v>892</v>
      </c>
      <c r="C262" t="s">
        <v>185</v>
      </c>
      <c r="D262" t="s">
        <v>220</v>
      </c>
      <c r="E262">
        <v>0.21</v>
      </c>
      <c r="F262" t="s">
        <v>644</v>
      </c>
      <c r="G262" t="s">
        <v>893</v>
      </c>
      <c r="H262" s="4" t="s">
        <v>649</v>
      </c>
      <c r="I262" s="4" t="s">
        <v>894</v>
      </c>
    </row>
    <row r="263" spans="1:9" x14ac:dyDescent="0.45">
      <c r="A263" t="s">
        <v>895</v>
      </c>
      <c r="B263" s="4" t="s">
        <v>896</v>
      </c>
      <c r="C263" t="s">
        <v>220</v>
      </c>
      <c r="D263" t="s">
        <v>659</v>
      </c>
      <c r="E263">
        <v>0.49</v>
      </c>
      <c r="F263" t="s">
        <v>372</v>
      </c>
      <c r="G263" t="s">
        <v>223</v>
      </c>
      <c r="H263" s="4" t="s">
        <v>373</v>
      </c>
      <c r="I263" s="4" t="s">
        <v>277</v>
      </c>
    </row>
    <row r="264" spans="1:9" x14ac:dyDescent="0.45">
      <c r="A264" t="s">
        <v>897</v>
      </c>
      <c r="B264" s="4" t="s">
        <v>898</v>
      </c>
      <c r="C264" t="s">
        <v>190</v>
      </c>
      <c r="D264" t="s">
        <v>185</v>
      </c>
      <c r="E264">
        <v>0</v>
      </c>
      <c r="G264" t="s">
        <v>463</v>
      </c>
      <c r="I264" s="4" t="s">
        <v>553</v>
      </c>
    </row>
    <row r="265" spans="1:9" x14ac:dyDescent="0.45">
      <c r="A265" t="s">
        <v>899</v>
      </c>
      <c r="C265" t="s">
        <v>185</v>
      </c>
      <c r="D265" t="s">
        <v>900</v>
      </c>
      <c r="E265">
        <v>0.92</v>
      </c>
      <c r="F265" t="s">
        <v>700</v>
      </c>
      <c r="G265" t="s">
        <v>188</v>
      </c>
    </row>
    <row r="266" spans="1:9" x14ac:dyDescent="0.45">
      <c r="A266" t="s">
        <v>901</v>
      </c>
      <c r="B266" s="4" t="s">
        <v>902</v>
      </c>
      <c r="C266" t="s">
        <v>185</v>
      </c>
      <c r="D266" t="s">
        <v>210</v>
      </c>
      <c r="E266">
        <v>0.42</v>
      </c>
      <c r="F266" t="s">
        <v>700</v>
      </c>
      <c r="G266" t="s">
        <v>700</v>
      </c>
      <c r="H266" s="4" t="s">
        <v>731</v>
      </c>
      <c r="I266" s="4" t="s">
        <v>731</v>
      </c>
    </row>
    <row r="267" spans="1:9" x14ac:dyDescent="0.45">
      <c r="A267" t="s">
        <v>903</v>
      </c>
      <c r="B267" s="4" t="s">
        <v>904</v>
      </c>
      <c r="C267" t="s">
        <v>185</v>
      </c>
      <c r="D267" t="s">
        <v>195</v>
      </c>
      <c r="E267">
        <v>0.49</v>
      </c>
      <c r="F267" t="s">
        <v>385</v>
      </c>
      <c r="G267" t="s">
        <v>188</v>
      </c>
      <c r="H267" s="4" t="s">
        <v>681</v>
      </c>
      <c r="I267" s="4" t="s">
        <v>905</v>
      </c>
    </row>
  </sheetData>
  <autoFilter ref="A1:I267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data</vt:lpstr>
      <vt:lpstr>Die</vt:lpstr>
      <vt:lpstr>Sheet Die</vt:lpstr>
      <vt:lpstr>Fixture</vt:lpstr>
      <vt:lpstr>Fixture (2)</vt:lpstr>
      <vt:lpstr>Cata</vt:lpstr>
      <vt:lpstr>Sheet Cata</vt:lpstr>
      <vt:lpstr>Flx</vt:lpstr>
      <vt:lpstr>GPF</vt:lpstr>
      <vt:lpstr>Rear muffler</vt:lpstr>
      <vt:lpstr>Sheet5</vt:lpstr>
      <vt:lpstr>Cata!Print_Area</vt:lpstr>
      <vt:lpstr>Die!Print_Area</vt:lpstr>
      <vt:lpstr>Fixture!Print_Area</vt:lpstr>
      <vt:lpstr>'Fixture (2)'!Print_Area</vt:lpstr>
      <vt:lpstr>Flx!Print_Area</vt:lpstr>
      <vt:lpstr>GPF!Print_Area</vt:lpstr>
      <vt:lpstr>'Rear muffler'!Print_Area</vt:lpstr>
      <vt:lpstr>Cata!Print_Titles</vt:lpstr>
      <vt:lpstr>Die!Print_Titles</vt:lpstr>
      <vt:lpstr>Fixture!Print_Titles</vt:lpstr>
      <vt:lpstr>'Fixture (2)'!Print_Titles</vt:lpstr>
      <vt:lpstr>Flx!Print_Titles</vt:lpstr>
      <vt:lpstr>GPF!Print_Titles</vt:lpstr>
      <vt:lpstr>'Rear muffler'!Print_Titles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2025-10-03T09:33:27Z</dcterms:modified>
</cp:coreProperties>
</file>